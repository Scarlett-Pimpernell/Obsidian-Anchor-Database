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micha\Dropbox\"/>
    </mc:Choice>
  </mc:AlternateContent>
  <xr:revisionPtr revIDLastSave="0" documentId="13_ncr:1_{7A0BF86E-0ED6-4404-82E4-B898B4F4EF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1" l="1"/>
  <c r="B21" i="1" s="1"/>
  <c r="B23" i="1" s="1"/>
  <c r="C23" i="1" l="1"/>
</calcChain>
</file>

<file path=xl/sharedStrings.xml><?xml version="1.0" encoding="utf-8"?>
<sst xmlns="http://schemas.openxmlformats.org/spreadsheetml/2006/main" count="43" uniqueCount="37">
  <si>
    <t>Pitta</t>
  </si>
  <si>
    <t>Fruit</t>
  </si>
  <si>
    <t>Juice</t>
  </si>
  <si>
    <t>Yogurt</t>
  </si>
  <si>
    <t>Cheese</t>
  </si>
  <si>
    <t>Nuts</t>
  </si>
  <si>
    <t>Seeds</t>
  </si>
  <si>
    <t>Honey</t>
  </si>
  <si>
    <t>Oats</t>
  </si>
  <si>
    <t>Veg</t>
  </si>
  <si>
    <t>Coffee</t>
  </si>
  <si>
    <t>Tea</t>
  </si>
  <si>
    <t>Total</t>
  </si>
  <si>
    <t>Dark Chocolate</t>
  </si>
  <si>
    <t>12th
Sept
05NC
Onwards</t>
  </si>
  <si>
    <t>Ever?</t>
  </si>
  <si>
    <t>I Am Here!</t>
  </si>
  <si>
    <t>Calorie Source</t>
  </si>
  <si>
    <t>Memorials</t>
  </si>
  <si>
    <t>Feasts</t>
  </si>
  <si>
    <t>Festivities Of the Lord</t>
  </si>
  <si>
    <t>Solemnities</t>
  </si>
  <si>
    <t>Fancy Non-Alcoholic Beverages</t>
  </si>
  <si>
    <t>Pio Religious Life Average</t>
  </si>
  <si>
    <t>Alcoholic Beverages</t>
  </si>
  <si>
    <t>Desserts and Confectionery</t>
  </si>
  <si>
    <t>Me From ~04NC To ~05NC</t>
  </si>
  <si>
    <t>Me From ~05NC To ~06NC</t>
  </si>
  <si>
    <t>Typical Calories</t>
  </si>
  <si>
    <t>Monthly Frequency</t>
  </si>
  <si>
    <t>&gt;&gt;&gt;</t>
  </si>
  <si>
    <t>Festivity Additive Amortisation</t>
  </si>
  <si>
    <t>Restaurant Food</t>
  </si>
  <si>
    <t>Sundays</t>
  </si>
  <si>
    <t>Meats and Fast Food</t>
  </si>
  <si>
    <t>The Exultation Of the Cross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</si>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</sst>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u/>
      <sz val="1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1" xfId="0" applyFont="1" applyBorder="1" applyAlignment="1">
      <alignment horizontal="left" vertical="top"/>
    </xf>
    <xf numFmtId="0" fontId="2" fillId="0" borderId="17" xfId="0" applyFont="1" applyBorder="1" applyAlignment="1">
      <alignment horizontal="left" vertical="top" wrapText="1"/>
    </xf>
    <xf numFmtId="0" fontId="0" fillId="0" borderId="11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/>
    </xf>
    <xf numFmtId="0" fontId="0" fillId="0" borderId="23" xfId="0" applyBorder="1" applyAlignment="1">
      <alignment vertical="top"/>
    </xf>
    <xf numFmtId="0" fontId="0" fillId="0" borderId="24" xfId="0" applyBorder="1" applyAlignment="1">
      <alignment horizontal="left" vertical="top"/>
    </xf>
    <xf numFmtId="0" fontId="0" fillId="0" borderId="0" xfId="0" applyAlignment="1">
      <alignment horizontal="center"/>
    </xf>
    <xf numFmtId="3" fontId="0" fillId="0" borderId="18" xfId="0" applyNumberFormat="1" applyBorder="1" applyAlignment="1">
      <alignment horizontal="left" vertical="top"/>
    </xf>
    <xf numFmtId="3" fontId="2" fillId="3" borderId="3" xfId="0" applyNumberFormat="1" applyFont="1" applyFill="1" applyBorder="1" applyAlignment="1">
      <alignment horizontal="left" vertical="top"/>
    </xf>
    <xf numFmtId="3" fontId="0" fillId="2" borderId="4" xfId="0" applyNumberFormat="1" applyFill="1" applyBorder="1" applyAlignment="1">
      <alignment horizontal="left" vertical="top"/>
    </xf>
    <xf numFmtId="3" fontId="0" fillId="0" borderId="10" xfId="0" applyNumberFormat="1" applyBorder="1" applyAlignment="1">
      <alignment horizontal="left" vertical="top"/>
    </xf>
    <xf numFmtId="3" fontId="2" fillId="3" borderId="2" xfId="0" applyNumberFormat="1" applyFont="1" applyFill="1" applyBorder="1" applyAlignment="1">
      <alignment horizontal="left" vertical="top"/>
    </xf>
    <xf numFmtId="3" fontId="0" fillId="2" borderId="5" xfId="0" applyNumberFormat="1" applyFill="1" applyBorder="1" applyAlignment="1">
      <alignment horizontal="left" vertical="top"/>
    </xf>
    <xf numFmtId="3" fontId="0" fillId="0" borderId="19" xfId="0" applyNumberFormat="1" applyBorder="1" applyAlignment="1">
      <alignment horizontal="left" vertical="top"/>
    </xf>
    <xf numFmtId="3" fontId="2" fillId="3" borderId="6" xfId="0" applyNumberFormat="1" applyFont="1" applyFill="1" applyBorder="1" applyAlignment="1">
      <alignment horizontal="left" vertical="top"/>
    </xf>
    <xf numFmtId="3" fontId="0" fillId="2" borderId="7" xfId="0" applyNumberFormat="1" applyFill="1" applyBorder="1" applyAlignment="1">
      <alignment horizontal="left" vertical="top"/>
    </xf>
    <xf numFmtId="3" fontId="0" fillId="0" borderId="15" xfId="0" applyNumberFormat="1" applyBorder="1" applyAlignment="1">
      <alignment horizontal="left" vertical="top"/>
    </xf>
    <xf numFmtId="3" fontId="0" fillId="0" borderId="16" xfId="0" applyNumberFormat="1" applyBorder="1" applyAlignment="1">
      <alignment horizontal="left" vertical="top"/>
    </xf>
    <xf numFmtId="3" fontId="0" fillId="0" borderId="17" xfId="0" applyNumberFormat="1" applyBorder="1" applyAlignment="1">
      <alignment horizontal="left" vertical="top"/>
    </xf>
    <xf numFmtId="3" fontId="2" fillId="3" borderId="8" xfId="0" applyNumberFormat="1" applyFont="1" applyFill="1" applyBorder="1" applyAlignment="1">
      <alignment horizontal="left" vertical="top"/>
    </xf>
    <xf numFmtId="3" fontId="0" fillId="2" borderId="9" xfId="0" applyNumberFormat="1" applyFill="1" applyBorder="1" applyAlignment="1">
      <alignment horizontal="left" vertical="top"/>
    </xf>
    <xf numFmtId="3" fontId="0" fillId="0" borderId="25" xfId="0" applyNumberFormat="1" applyBorder="1" applyAlignment="1">
      <alignment horizontal="left" vertical="top"/>
    </xf>
    <xf numFmtId="3" fontId="1" fillId="4" borderId="9" xfId="0" applyNumberFormat="1" applyFont="1" applyFill="1" applyBorder="1" applyAlignment="1">
      <alignment horizontal="left" vertical="top"/>
    </xf>
    <xf numFmtId="0" fontId="4" fillId="5" borderId="26" xfId="0" applyFont="1" applyFill="1" applyBorder="1" applyAlignment="1">
      <alignment horizontal="left" vertical="top"/>
    </xf>
    <xf numFmtId="0" fontId="4" fillId="5" borderId="29" xfId="0" applyFont="1" applyFill="1" applyBorder="1" applyAlignment="1">
      <alignment horizontal="left" vertical="top"/>
    </xf>
    <xf numFmtId="0" fontId="4" fillId="5" borderId="27" xfId="0" applyFont="1" applyFill="1" applyBorder="1" applyAlignment="1">
      <alignment horizontal="left" vertical="top"/>
    </xf>
    <xf numFmtId="0" fontId="4" fillId="5" borderId="28" xfId="0" applyFont="1" applyFill="1" applyBorder="1" applyAlignment="1">
      <alignment horizontal="left" vertical="top"/>
    </xf>
    <xf numFmtId="0" fontId="3" fillId="3" borderId="20" xfId="0" applyFont="1" applyFill="1" applyBorder="1" applyAlignment="1">
      <alignment horizontal="center" vertical="center" wrapText="1"/>
    </xf>
    <xf numFmtId="0" fontId="3" fillId="3" borderId="21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4" fillId="5" borderId="30" xfId="0" applyFont="1" applyFill="1" applyBorder="1" applyAlignment="1">
      <alignment horizontal="left" vertical="top"/>
    </xf>
    <xf numFmtId="0" fontId="4" fillId="5" borderId="31" xfId="0" applyFont="1" applyFill="1" applyBorder="1" applyAlignment="1">
      <alignment horizontal="left" vertical="top"/>
    </xf>
    <xf numFmtId="0" fontId="4" fillId="5" borderId="32" xfId="0" applyFont="1" applyFill="1" applyBorder="1" applyAlignment="1">
      <alignment horizontal="left" vertical="top"/>
    </xf>
    <xf numFmtId="0" fontId="4" fillId="5" borderId="33" xfId="0" applyFont="1" applyFill="1" applyBorder="1" applyAlignment="1">
      <alignment horizontal="left" vertical="top"/>
    </xf>
    <xf numFmtId="0" fontId="0" fillId="7" borderId="1" xfId="0" applyFill="1" applyBorder="1" applyAlignment="1">
      <alignment horizontal="left" vertical="top"/>
    </xf>
    <xf numFmtId="0" fontId="0" fillId="7" borderId="34" xfId="0" applyFill="1" applyBorder="1" applyAlignment="1">
      <alignment horizontal="left" vertical="top"/>
    </xf>
    <xf numFmtId="0" fontId="5" fillId="7" borderId="12" xfId="0" applyFont="1" applyFill="1" applyBorder="1" applyAlignment="1">
      <alignment horizontal="left" vertical="top"/>
    </xf>
    <xf numFmtId="0" fontId="0" fillId="7" borderId="12" xfId="0" applyFill="1" applyBorder="1" applyAlignment="1">
      <alignment horizontal="left" vertical="top"/>
    </xf>
    <xf numFmtId="0" fontId="0" fillId="7" borderId="13" xfId="0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66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workbookViewId="0">
      <selection activeCell="C24" sqref="C24"/>
    </sheetView>
  </sheetViews>
  <sheetFormatPr defaultRowHeight="14.4" x14ac:dyDescent="0.3"/>
  <cols>
    <col min="1" max="1" width="26.109375" bestFit="1" customWidth="1"/>
    <col min="2" max="2" width="26.88671875" bestFit="1" customWidth="1"/>
    <col min="3" max="3" width="23.21875" bestFit="1" customWidth="1"/>
    <col min="4" max="4" width="22.6640625" bestFit="1" customWidth="1"/>
    <col min="6" max="6" width="16.6640625" bestFit="1" customWidth="1"/>
    <col min="7" max="7" width="13.77734375" bestFit="1" customWidth="1"/>
    <col min="8" max="8" width="23.44140625" bestFit="1" customWidth="1"/>
  </cols>
  <sheetData>
    <row r="1" spans="1:4" ht="33.6" customHeight="1" thickBot="1" x14ac:dyDescent="0.35">
      <c r="A1" s="1" t="s">
        <v>17</v>
      </c>
      <c r="B1" s="2" t="s">
        <v>26</v>
      </c>
      <c r="C1" s="8" t="s">
        <v>27</v>
      </c>
      <c r="D1" s="9" t="s">
        <v>23</v>
      </c>
    </row>
    <row r="2" spans="1:4" x14ac:dyDescent="0.3">
      <c r="A2" s="3" t="s">
        <v>0</v>
      </c>
      <c r="B2" s="13">
        <v>150</v>
      </c>
      <c r="C2" s="14">
        <v>0</v>
      </c>
      <c r="D2" s="15"/>
    </row>
    <row r="3" spans="1:4" x14ac:dyDescent="0.3">
      <c r="A3" s="4" t="s">
        <v>1</v>
      </c>
      <c r="B3" s="16">
        <v>100</v>
      </c>
      <c r="C3" s="17">
        <v>100</v>
      </c>
      <c r="D3" s="18"/>
    </row>
    <row r="4" spans="1:4" x14ac:dyDescent="0.3">
      <c r="A4" s="4" t="s">
        <v>2</v>
      </c>
      <c r="B4" s="16">
        <v>100</v>
      </c>
      <c r="C4" s="17">
        <v>100</v>
      </c>
      <c r="D4" s="18"/>
    </row>
    <row r="5" spans="1:4" x14ac:dyDescent="0.3">
      <c r="A5" s="4" t="s">
        <v>3</v>
      </c>
      <c r="B5" s="16">
        <v>100</v>
      </c>
      <c r="C5" s="17">
        <v>100</v>
      </c>
      <c r="D5" s="18"/>
    </row>
    <row r="6" spans="1:4" ht="15" thickBot="1" x14ac:dyDescent="0.35">
      <c r="A6" s="5" t="s">
        <v>4</v>
      </c>
      <c r="B6" s="19">
        <v>100</v>
      </c>
      <c r="C6" s="20">
        <v>100</v>
      </c>
      <c r="D6" s="21"/>
    </row>
    <row r="7" spans="1:4" ht="9" customHeight="1" thickBot="1" x14ac:dyDescent="0.35">
      <c r="A7" s="6"/>
      <c r="B7" s="22"/>
      <c r="C7" s="22"/>
      <c r="D7" s="23"/>
    </row>
    <row r="8" spans="1:4" x14ac:dyDescent="0.3">
      <c r="A8" s="3" t="s">
        <v>1</v>
      </c>
      <c r="B8" s="13">
        <v>100</v>
      </c>
      <c r="C8" s="14">
        <v>100</v>
      </c>
      <c r="D8" s="15"/>
    </row>
    <row r="9" spans="1:4" x14ac:dyDescent="0.3">
      <c r="A9" s="4" t="s">
        <v>2</v>
      </c>
      <c r="B9" s="16">
        <v>100</v>
      </c>
      <c r="C9" s="17">
        <v>100</v>
      </c>
      <c r="D9" s="18"/>
    </row>
    <row r="10" spans="1:4" x14ac:dyDescent="0.3">
      <c r="A10" s="4" t="s">
        <v>5</v>
      </c>
      <c r="B10" s="16">
        <v>100</v>
      </c>
      <c r="C10" s="17">
        <v>100</v>
      </c>
      <c r="D10" s="18"/>
    </row>
    <row r="11" spans="1:4" x14ac:dyDescent="0.3">
      <c r="A11" s="4" t="s">
        <v>6</v>
      </c>
      <c r="B11" s="16">
        <v>50</v>
      </c>
      <c r="C11" s="17">
        <v>50</v>
      </c>
      <c r="D11" s="18"/>
    </row>
    <row r="12" spans="1:4" ht="15" thickBot="1" x14ac:dyDescent="0.35">
      <c r="A12" s="5" t="s">
        <v>7</v>
      </c>
      <c r="B12" s="19">
        <v>50</v>
      </c>
      <c r="C12" s="20">
        <v>0</v>
      </c>
      <c r="D12" s="21"/>
    </row>
    <row r="13" spans="1:4" ht="9" customHeight="1" thickBot="1" x14ac:dyDescent="0.35">
      <c r="A13" s="6"/>
      <c r="B13" s="22"/>
      <c r="C13" s="22"/>
      <c r="D13" s="23"/>
    </row>
    <row r="14" spans="1:4" x14ac:dyDescent="0.3">
      <c r="A14" s="3" t="s">
        <v>8</v>
      </c>
      <c r="B14" s="13">
        <v>250</v>
      </c>
      <c r="C14" s="14">
        <v>0</v>
      </c>
      <c r="D14" s="15"/>
    </row>
    <row r="15" spans="1:4" x14ac:dyDescent="0.3">
      <c r="A15" s="4" t="s">
        <v>9</v>
      </c>
      <c r="B15" s="16">
        <v>100</v>
      </c>
      <c r="C15" s="17">
        <v>100</v>
      </c>
      <c r="D15" s="18"/>
    </row>
    <row r="16" spans="1:4" ht="15" thickBot="1" x14ac:dyDescent="0.35">
      <c r="A16" s="5" t="s">
        <v>13</v>
      </c>
      <c r="B16" s="19">
        <v>50</v>
      </c>
      <c r="C16" s="20">
        <v>0</v>
      </c>
      <c r="D16" s="21"/>
    </row>
    <row r="17" spans="1:8" ht="9" customHeight="1" thickBot="1" x14ac:dyDescent="0.35">
      <c r="A17" s="6"/>
      <c r="B17" s="22"/>
      <c r="C17" s="22"/>
      <c r="D17" s="23"/>
    </row>
    <row r="18" spans="1:8" x14ac:dyDescent="0.3">
      <c r="A18" s="3" t="s">
        <v>10</v>
      </c>
      <c r="B18" s="13">
        <v>100</v>
      </c>
      <c r="C18" s="14">
        <v>50</v>
      </c>
      <c r="D18" s="15"/>
    </row>
    <row r="19" spans="1:8" ht="15" thickBot="1" x14ac:dyDescent="0.35">
      <c r="A19" s="5" t="s">
        <v>11</v>
      </c>
      <c r="B19" s="19">
        <v>50</v>
      </c>
      <c r="C19" s="20">
        <v>50</v>
      </c>
      <c r="D19" s="21"/>
    </row>
    <row r="20" spans="1:8" ht="9" customHeight="1" thickBot="1" x14ac:dyDescent="0.35">
      <c r="A20" s="6"/>
      <c r="B20" s="22"/>
      <c r="C20" s="22"/>
      <c r="D20" s="23"/>
    </row>
    <row r="21" spans="1:8" ht="15" customHeight="1" thickBot="1" x14ac:dyDescent="0.35">
      <c r="A21" s="7" t="s">
        <v>31</v>
      </c>
      <c r="B21" s="24">
        <f>(C21*1.5)</f>
        <v>724.99999999999989</v>
      </c>
      <c r="C21" s="25">
        <f>(((F25*G25)/30)+(((F25*G25)+(F26*G26))/30)+(((F25*G25)+(F26*G26)+(F27*G27))/30)+(((F25*G25)+(F26*G26)+(F27*G27)+(F28*G28))/30)+(((F25*G25)+(F26*G26)+(F27*G27)+(F28*G28)+(F29*G29))/30))</f>
        <v>483.33333333333326</v>
      </c>
      <c r="D21" s="26"/>
    </row>
    <row r="22" spans="1:8" ht="9" customHeight="1" thickBot="1" x14ac:dyDescent="0.35">
      <c r="A22" s="11"/>
      <c r="B22" s="27"/>
      <c r="C22" s="22"/>
      <c r="D22" s="23"/>
    </row>
    <row r="23" spans="1:8" ht="15" thickBot="1" x14ac:dyDescent="0.35">
      <c r="A23" s="7" t="s">
        <v>12</v>
      </c>
      <c r="B23" s="24">
        <f>SUM(B2:B21)</f>
        <v>2225</v>
      </c>
      <c r="C23" s="25">
        <f>SUM(C2:C21)</f>
        <v>1433.3333333333333</v>
      </c>
      <c r="D23" s="28">
        <v>600</v>
      </c>
    </row>
    <row r="24" spans="1:8" ht="16.2" thickBot="1" x14ac:dyDescent="0.35">
      <c r="A24" s="10"/>
      <c r="B24" s="10"/>
      <c r="C24" s="39" t="s">
        <v>16</v>
      </c>
      <c r="F24" s="29" t="s">
        <v>29</v>
      </c>
      <c r="G24" s="40" t="s">
        <v>28</v>
      </c>
      <c r="H24" s="44" t="s">
        <v>35</v>
      </c>
    </row>
    <row r="25" spans="1:8" x14ac:dyDescent="0.3">
      <c r="A25" s="3" t="s">
        <v>18</v>
      </c>
      <c r="B25" s="3" t="s">
        <v>22</v>
      </c>
      <c r="C25" s="33" t="s">
        <v>14</v>
      </c>
      <c r="D25" s="36" t="s">
        <v>15</v>
      </c>
      <c r="E25" s="12" t="s">
        <v>30</v>
      </c>
      <c r="F25" s="30">
        <v>5</v>
      </c>
      <c r="G25" s="41">
        <v>100</v>
      </c>
      <c r="H25" s="45">
        <v>5</v>
      </c>
    </row>
    <row r="26" spans="1:8" x14ac:dyDescent="0.3">
      <c r="A26" s="4" t="s">
        <v>19</v>
      </c>
      <c r="B26" s="4" t="s">
        <v>25</v>
      </c>
      <c r="C26" s="34"/>
      <c r="D26" s="37"/>
      <c r="E26" s="12" t="s">
        <v>30</v>
      </c>
      <c r="F26" s="31">
        <v>3</v>
      </c>
      <c r="G26" s="42">
        <v>200</v>
      </c>
      <c r="H26" s="46">
        <v>200</v>
      </c>
    </row>
    <row r="27" spans="1:8" x14ac:dyDescent="0.3">
      <c r="A27" s="4" t="s">
        <v>33</v>
      </c>
      <c r="B27" s="4" t="s">
        <v>34</v>
      </c>
      <c r="C27" s="34"/>
      <c r="D27" s="37"/>
      <c r="E27" s="12" t="s">
        <v>30</v>
      </c>
      <c r="F27" s="31">
        <v>4</v>
      </c>
      <c r="G27" s="42">
        <v>400</v>
      </c>
      <c r="H27" s="47">
        <v>400</v>
      </c>
    </row>
    <row r="28" spans="1:8" x14ac:dyDescent="0.3">
      <c r="A28" s="4" t="s">
        <v>21</v>
      </c>
      <c r="B28" s="4" t="s">
        <v>24</v>
      </c>
      <c r="C28" s="34"/>
      <c r="D28" s="37"/>
      <c r="E28" s="12" t="s">
        <v>30</v>
      </c>
      <c r="F28" s="31">
        <v>2</v>
      </c>
      <c r="G28" s="42">
        <v>800</v>
      </c>
      <c r="H28" s="47">
        <v>700</v>
      </c>
    </row>
    <row r="29" spans="1:8" ht="15" thickBot="1" x14ac:dyDescent="0.35">
      <c r="A29" s="5" t="s">
        <v>20</v>
      </c>
      <c r="B29" s="5" t="s">
        <v>32</v>
      </c>
      <c r="C29" s="35"/>
      <c r="D29" s="38"/>
      <c r="E29" s="12" t="s">
        <v>30</v>
      </c>
      <c r="F29" s="32">
        <v>1</v>
      </c>
      <c r="G29" s="43">
        <v>1600</v>
      </c>
      <c r="H29" s="48" t="s">
        <v>36</v>
      </c>
    </row>
  </sheetData>
  <mergeCells count="2">
    <mergeCell ref="C25:C29"/>
    <mergeCell ref="D25:D2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Sinyangwe</dc:creator>
  <cp:lastModifiedBy>Michael Sinyangwe</cp:lastModifiedBy>
  <dcterms:created xsi:type="dcterms:W3CDTF">2015-06-05T18:17:20Z</dcterms:created>
  <dcterms:modified xsi:type="dcterms:W3CDTF">2026-09-15T20:59:28Z</dcterms:modified>
</cp:coreProperties>
</file>