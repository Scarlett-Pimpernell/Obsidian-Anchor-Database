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AA511808-E266-41D1-8B5F-0A75F1E37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R5" i="1" l="1"/>
  <c r="AYS5" i="1"/>
  <c r="AYR6" i="1"/>
  <c r="AYR7" i="1" s="1"/>
  <c r="AYS6" i="1"/>
  <c r="AYS7" i="1" s="1"/>
  <c r="AYR8" i="1"/>
  <c r="AYR9" i="1" s="1"/>
  <c r="AYS8" i="1"/>
  <c r="AYS9" i="1" s="1"/>
  <c r="AYR10" i="1"/>
  <c r="AYR11" i="1" s="1"/>
  <c r="AYS10" i="1"/>
  <c r="AYS11" i="1" s="1"/>
  <c r="OW5" i="2"/>
  <c r="OX5" i="2"/>
  <c r="OW6" i="2"/>
  <c r="OW7" i="2" s="1"/>
  <c r="OX6" i="2"/>
  <c r="OX7" i="2" s="1"/>
  <c r="AYO5" i="1"/>
  <c r="AYP5" i="1"/>
  <c r="AYQ5" i="1"/>
  <c r="AYO6" i="1"/>
  <c r="AYO7" i="1" s="1"/>
  <c r="AYP6" i="1"/>
  <c r="AYP7" i="1" s="1"/>
  <c r="AYQ6" i="1"/>
  <c r="AYQ7" i="1" s="1"/>
  <c r="AYO8" i="1"/>
  <c r="AYO9" i="1" s="1"/>
  <c r="AYP8" i="1"/>
  <c r="AYP9" i="1" s="1"/>
  <c r="AYQ8" i="1"/>
  <c r="AYQ9" i="1" s="1"/>
  <c r="AYO10" i="1"/>
  <c r="AYO11" i="1" s="1"/>
  <c r="AYP10" i="1"/>
  <c r="AYP11" i="1" s="1"/>
  <c r="AYQ10" i="1"/>
  <c r="AYQ11" i="1" s="1"/>
  <c r="OT5" i="2"/>
  <c r="OU5" i="2"/>
  <c r="OV5" i="2"/>
  <c r="OT6" i="2"/>
  <c r="OT7" i="2" s="1"/>
  <c r="OU6" i="2"/>
  <c r="OU7" i="2" s="1"/>
  <c r="OV6" i="2"/>
  <c r="OV7" i="2" s="1"/>
  <c r="AYL5" i="1"/>
  <c r="AYM5" i="1"/>
  <c r="AYN5" i="1"/>
  <c r="AYL6" i="1"/>
  <c r="AYL7" i="1" s="1"/>
  <c r="AYM6" i="1"/>
  <c r="AYM7" i="1" s="1"/>
  <c r="AYN6" i="1"/>
  <c r="AYN7" i="1" s="1"/>
  <c r="AYL8" i="1"/>
  <c r="AYL9" i="1" s="1"/>
  <c r="AYM8" i="1"/>
  <c r="AYM9" i="1" s="1"/>
  <c r="AYN8" i="1"/>
  <c r="AYN9" i="1" s="1"/>
  <c r="AYL10" i="1"/>
  <c r="AYL11" i="1" s="1"/>
  <c r="AYM10" i="1"/>
  <c r="AYM11" i="1" s="1"/>
  <c r="AYN10" i="1"/>
  <c r="AYN11" i="1" s="1"/>
  <c r="OQ5" i="2"/>
  <c r="OR5" i="2"/>
  <c r="OS5" i="2"/>
  <c r="OQ6" i="2"/>
  <c r="OQ7" i="2" s="1"/>
  <c r="OR6" i="2"/>
  <c r="OR7" i="2" s="1"/>
  <c r="OS6" i="2"/>
  <c r="OS7" i="2" s="1"/>
  <c r="AYI5" i="1"/>
  <c r="AYJ5" i="1"/>
  <c r="AYK5" i="1"/>
  <c r="AYI6" i="1"/>
  <c r="AYI7" i="1" s="1"/>
  <c r="AYJ6" i="1"/>
  <c r="AYJ7" i="1" s="1"/>
  <c r="AYK6" i="1"/>
  <c r="AYK7" i="1" s="1"/>
  <c r="AYI8" i="1"/>
  <c r="AYI9" i="1" s="1"/>
  <c r="AYJ8" i="1"/>
  <c r="AYJ9" i="1" s="1"/>
  <c r="AYK8" i="1"/>
  <c r="AYK9" i="1" s="1"/>
  <c r="AYI10" i="1"/>
  <c r="AYI11" i="1" s="1"/>
  <c r="AYJ10" i="1"/>
  <c r="AYJ11" i="1" s="1"/>
  <c r="AYK10" i="1"/>
  <c r="AYK11" i="1" s="1"/>
  <c r="ON5" i="2"/>
  <c r="OO5" i="2"/>
  <c r="OP5" i="2"/>
  <c r="ON6" i="2"/>
  <c r="ON7" i="2" s="1"/>
  <c r="OO6" i="2"/>
  <c r="OO7" i="2" s="1"/>
  <c r="OP6" i="2"/>
  <c r="OP7" i="2" s="1"/>
  <c r="AYF5" i="1"/>
  <c r="AYG5" i="1"/>
  <c r="AYH5" i="1"/>
  <c r="AYF6" i="1"/>
  <c r="AYF7" i="1" s="1"/>
  <c r="AYG6" i="1"/>
  <c r="AYG7" i="1" s="1"/>
  <c r="AYH6" i="1"/>
  <c r="AYH7" i="1" s="1"/>
  <c r="AYF8" i="1"/>
  <c r="AYF9" i="1" s="1"/>
  <c r="AYG8" i="1"/>
  <c r="AYG9" i="1" s="1"/>
  <c r="AYH8" i="1"/>
  <c r="AYH9" i="1" s="1"/>
  <c r="AYF10" i="1"/>
  <c r="AYF11" i="1" s="1"/>
  <c r="AYG10" i="1"/>
  <c r="AYG11" i="1" s="1"/>
  <c r="AYH10" i="1"/>
  <c r="AYH11" i="1" s="1"/>
  <c r="OK5" i="2"/>
  <c r="OL5" i="2"/>
  <c r="OM5" i="2"/>
  <c r="OK6" i="2"/>
  <c r="OK7" i="2" s="1"/>
  <c r="OL6" i="2"/>
  <c r="OL7" i="2" s="1"/>
  <c r="OM6" i="2"/>
  <c r="OM7" i="2" s="1"/>
  <c r="OH5" i="2"/>
  <c r="OI5" i="2"/>
  <c r="OJ5" i="2"/>
  <c r="OH6" i="2"/>
  <c r="OH7" i="2" s="1"/>
  <c r="OI6" i="2"/>
  <c r="OI7" i="2" s="1"/>
  <c r="OJ6" i="2"/>
  <c r="OJ7" i="2" s="1"/>
  <c r="AYC5" i="1"/>
  <c r="AYD5" i="1"/>
  <c r="AYE5" i="1"/>
  <c r="AYC6" i="1"/>
  <c r="AYC7" i="1" s="1"/>
  <c r="AYD6" i="1"/>
  <c r="AYD7" i="1" s="1"/>
  <c r="AYE6" i="1"/>
  <c r="AYE7" i="1" s="1"/>
  <c r="AYC8" i="1"/>
  <c r="AYC9" i="1" s="1"/>
  <c r="AYD8" i="1"/>
  <c r="AYD9" i="1" s="1"/>
  <c r="AYE8" i="1"/>
  <c r="AYE9" i="1" s="1"/>
  <c r="AYC10" i="1"/>
  <c r="AYC11" i="1" s="1"/>
  <c r="AYD10" i="1"/>
  <c r="AYD11" i="1" s="1"/>
  <c r="AYE10" i="1"/>
  <c r="AYE11" i="1" s="1"/>
  <c r="AXZ5" i="1"/>
  <c r="AYA5" i="1"/>
  <c r="AYB5" i="1"/>
  <c r="AXZ6" i="1"/>
  <c r="AXZ7" i="1" s="1"/>
  <c r="AYA6" i="1"/>
  <c r="AYA7" i="1" s="1"/>
  <c r="AYB6" i="1"/>
  <c r="AYB7" i="1" s="1"/>
  <c r="AXZ8" i="1"/>
  <c r="AXZ9" i="1" s="1"/>
  <c r="AYA8" i="1"/>
  <c r="AYA9" i="1" s="1"/>
  <c r="AYB8" i="1"/>
  <c r="AYB9" i="1" s="1"/>
  <c r="AXZ10" i="1"/>
  <c r="AXZ11" i="1" s="1"/>
  <c r="AYA10" i="1"/>
  <c r="AYA11" i="1" s="1"/>
  <c r="AYB10" i="1"/>
  <c r="AYB11" i="1" s="1"/>
  <c r="OE5" i="2"/>
  <c r="OF5" i="2"/>
  <c r="OG5" i="2"/>
  <c r="OE6" i="2"/>
  <c r="OE7" i="2" s="1"/>
  <c r="OF6" i="2"/>
  <c r="OF7" i="2" s="1"/>
  <c r="OG6" i="2"/>
  <c r="OG7" i="2" s="1"/>
  <c r="AXW5" i="1"/>
  <c r="AXX5" i="1"/>
  <c r="AXY5" i="1"/>
  <c r="AXW6" i="1"/>
  <c r="AXW7" i="1" s="1"/>
  <c r="AXX6" i="1"/>
  <c r="AXX7" i="1" s="1"/>
  <c r="AXY6" i="1"/>
  <c r="AXY7" i="1" s="1"/>
  <c r="AXW8" i="1"/>
  <c r="AXW9" i="1" s="1"/>
  <c r="AXX8" i="1"/>
  <c r="AXX9" i="1" s="1"/>
  <c r="AXY8" i="1"/>
  <c r="AXY9" i="1" s="1"/>
  <c r="AXW10" i="1"/>
  <c r="AXW11" i="1" s="1"/>
  <c r="AXX10" i="1"/>
  <c r="AXX11" i="1" s="1"/>
  <c r="AXY10" i="1"/>
  <c r="AXY11" i="1" s="1"/>
  <c r="OB5" i="2"/>
  <c r="OC5" i="2"/>
  <c r="OD5" i="2"/>
  <c r="OB6" i="2"/>
  <c r="OB7" i="2" s="1"/>
  <c r="OC6" i="2"/>
  <c r="OC7" i="2" s="1"/>
  <c r="OD6" i="2"/>
  <c r="OD7" i="2" s="1"/>
  <c r="NY5" i="2"/>
  <c r="NZ5" i="2"/>
  <c r="OA5" i="2"/>
  <c r="NY6" i="2"/>
  <c r="NY7" i="2" s="1"/>
  <c r="NZ6" i="2"/>
  <c r="NZ7" i="2" s="1"/>
  <c r="OA6" i="2"/>
  <c r="OA7" i="2" s="1"/>
  <c r="AXT5" i="1"/>
  <c r="AXU5" i="1"/>
  <c r="AXV5" i="1"/>
  <c r="AXT6" i="1"/>
  <c r="AXT7" i="1" s="1"/>
  <c r="AXU6" i="1"/>
  <c r="AXU7" i="1" s="1"/>
  <c r="AXV6" i="1"/>
  <c r="AXV7" i="1" s="1"/>
  <c r="AXT8" i="1"/>
  <c r="AXT9" i="1" s="1"/>
  <c r="AXU8" i="1"/>
  <c r="AXU9" i="1" s="1"/>
  <c r="AXV8" i="1"/>
  <c r="AXV9" i="1" s="1"/>
  <c r="AXT10" i="1"/>
  <c r="AXT11" i="1" s="1"/>
  <c r="AXU10" i="1"/>
  <c r="AXU11" i="1" s="1"/>
  <c r="AXV10" i="1"/>
  <c r="AXV11" i="1" s="1"/>
  <c r="NV5" i="2"/>
  <c r="NW5" i="2"/>
  <c r="NX5" i="2"/>
  <c r="NV6" i="2"/>
  <c r="NV7" i="2" s="1"/>
  <c r="NW6" i="2"/>
  <c r="NW7" i="2" s="1"/>
  <c r="NX6" i="2"/>
  <c r="NX7" i="2" s="1"/>
  <c r="AXQ5" i="1"/>
  <c r="AXR5" i="1"/>
  <c r="AXS5" i="1"/>
  <c r="AXQ6" i="1"/>
  <c r="AXQ7" i="1" s="1"/>
  <c r="AXR6" i="1"/>
  <c r="AXR7" i="1" s="1"/>
  <c r="AXS6" i="1"/>
  <c r="AXS7" i="1" s="1"/>
  <c r="AXQ8" i="1"/>
  <c r="AXQ9" i="1" s="1"/>
  <c r="AXR8" i="1"/>
  <c r="AXR9" i="1" s="1"/>
  <c r="AXS8" i="1"/>
  <c r="AXS9" i="1" s="1"/>
  <c r="AXQ10" i="1"/>
  <c r="AXQ11" i="1" s="1"/>
  <c r="AXR10" i="1"/>
  <c r="AXR11" i="1" s="1"/>
  <c r="AXS10" i="1"/>
  <c r="AXS11" i="1" s="1"/>
  <c r="AXN5" i="1"/>
  <c r="AXO5" i="1"/>
  <c r="AXP5" i="1"/>
  <c r="AXN6" i="1"/>
  <c r="AXN7" i="1" s="1"/>
  <c r="AXO6" i="1"/>
  <c r="AXO7" i="1" s="1"/>
  <c r="AXP6" i="1"/>
  <c r="AXP7" i="1" s="1"/>
  <c r="AXN8" i="1"/>
  <c r="AXN9" i="1" s="1"/>
  <c r="AXO8" i="1"/>
  <c r="AXO9" i="1" s="1"/>
  <c r="AXP8" i="1"/>
  <c r="AXP9" i="1" s="1"/>
  <c r="AXN10" i="1"/>
  <c r="AXN11" i="1" s="1"/>
  <c r="AXO10" i="1"/>
  <c r="AXO11" i="1" s="1"/>
  <c r="AXP10" i="1"/>
  <c r="AXP11" i="1" s="1"/>
  <c r="NS5" i="2"/>
  <c r="NT5" i="2"/>
  <c r="NU5" i="2"/>
  <c r="NS6" i="2"/>
  <c r="NS7" i="2" s="1"/>
  <c r="NT6" i="2"/>
  <c r="NT7" i="2" s="1"/>
  <c r="NU6" i="2"/>
  <c r="NU7" i="2" s="1"/>
  <c r="AXH5" i="1"/>
  <c r="AXI5" i="1"/>
  <c r="AXJ5" i="1"/>
  <c r="AXK5" i="1"/>
  <c r="AXL5" i="1"/>
  <c r="AXM5" i="1"/>
  <c r="AXH6" i="1"/>
  <c r="AXH7" i="1" s="1"/>
  <c r="AXI6" i="1"/>
  <c r="AXI7" i="1" s="1"/>
  <c r="AXJ6" i="1"/>
  <c r="AXJ7" i="1" s="1"/>
  <c r="AXK6" i="1"/>
  <c r="AXK7" i="1" s="1"/>
  <c r="AXL6" i="1"/>
  <c r="AXL7" i="1" s="1"/>
  <c r="AXM6" i="1"/>
  <c r="AXM7" i="1" s="1"/>
  <c r="AXH8" i="1"/>
  <c r="AXH9" i="1" s="1"/>
  <c r="AXI8" i="1"/>
  <c r="AXI9" i="1" s="1"/>
  <c r="AXJ8" i="1"/>
  <c r="AXJ9" i="1" s="1"/>
  <c r="AXK8" i="1"/>
  <c r="AXK9" i="1" s="1"/>
  <c r="AXL8" i="1"/>
  <c r="AXL9" i="1" s="1"/>
  <c r="AXM8" i="1"/>
  <c r="AXM9" i="1" s="1"/>
  <c r="AXH10" i="1"/>
  <c r="AXH11" i="1" s="1"/>
  <c r="AXI10" i="1"/>
  <c r="AXI11" i="1" s="1"/>
  <c r="AXJ10" i="1"/>
  <c r="AXJ11" i="1" s="1"/>
  <c r="AXK10" i="1"/>
  <c r="AXK11" i="1" s="1"/>
  <c r="AXL10" i="1"/>
  <c r="AXL11" i="1" s="1"/>
  <c r="AXM10" i="1"/>
  <c r="AXM11" i="1" s="1"/>
  <c r="NM5" i="2"/>
  <c r="NN5" i="2"/>
  <c r="NO5" i="2"/>
  <c r="NP5" i="2"/>
  <c r="NQ5" i="2"/>
  <c r="NR5" i="2"/>
  <c r="NM6" i="2"/>
  <c r="NM7" i="2" s="1"/>
  <c r="NN6" i="2"/>
  <c r="NN7" i="2" s="1"/>
  <c r="NO6" i="2"/>
  <c r="NO7" i="2" s="1"/>
  <c r="NP6" i="2"/>
  <c r="NP7" i="2" s="1"/>
  <c r="NQ6" i="2"/>
  <c r="NQ7" i="2" s="1"/>
  <c r="NR6" i="2"/>
  <c r="NR7" i="2" s="1"/>
  <c r="NJ5" i="2"/>
  <c r="NK5" i="2"/>
  <c r="NL5" i="2"/>
  <c r="NJ6" i="2"/>
  <c r="NJ7" i="2" s="1"/>
  <c r="NK6" i="2"/>
  <c r="NK7" i="2" s="1"/>
  <c r="NL6" i="2"/>
  <c r="NL7" i="2" s="1"/>
  <c r="AXE5" i="1"/>
  <c r="AXF5" i="1"/>
  <c r="AXG5" i="1"/>
  <c r="AXE6" i="1"/>
  <c r="AXE7" i="1" s="1"/>
  <c r="AXF6" i="1"/>
  <c r="AXF7" i="1" s="1"/>
  <c r="AXG6" i="1"/>
  <c r="AXG7" i="1" s="1"/>
  <c r="AXE8" i="1"/>
  <c r="AXE9" i="1" s="1"/>
  <c r="AXF8" i="1"/>
  <c r="AXF9" i="1" s="1"/>
  <c r="AXG8" i="1"/>
  <c r="AXG9" i="1" s="1"/>
  <c r="AXE10" i="1"/>
  <c r="AXE11" i="1" s="1"/>
  <c r="AXF10" i="1"/>
  <c r="AXF11" i="1" s="1"/>
  <c r="AXG10" i="1"/>
  <c r="AXG11" i="1" s="1"/>
  <c r="AWY5" i="1"/>
  <c r="AWZ5" i="1"/>
  <c r="AXA5" i="1"/>
  <c r="AXB5" i="1"/>
  <c r="AXC5" i="1"/>
  <c r="AXD5" i="1"/>
  <c r="AWY6" i="1"/>
  <c r="AWY7" i="1" s="1"/>
  <c r="AWZ6" i="1"/>
  <c r="AWZ7" i="1" s="1"/>
  <c r="AXA6" i="1"/>
  <c r="AXA7" i="1" s="1"/>
  <c r="AXB6" i="1"/>
  <c r="AXB7" i="1" s="1"/>
  <c r="AXC6" i="1"/>
  <c r="AXC7" i="1" s="1"/>
  <c r="AXD6" i="1"/>
  <c r="AXD7" i="1" s="1"/>
  <c r="AWY8" i="1"/>
  <c r="AWY9" i="1" s="1"/>
  <c r="AWZ8" i="1"/>
  <c r="AWZ9" i="1" s="1"/>
  <c r="AXA8" i="1"/>
  <c r="AXA9" i="1" s="1"/>
  <c r="AXB8" i="1"/>
  <c r="AXB9" i="1" s="1"/>
  <c r="AXC8" i="1"/>
  <c r="AXC9" i="1" s="1"/>
  <c r="AXD8" i="1"/>
  <c r="AXD9" i="1" s="1"/>
  <c r="AWY10" i="1"/>
  <c r="AWY11" i="1" s="1"/>
  <c r="AWZ10" i="1"/>
  <c r="AWZ11" i="1" s="1"/>
  <c r="AXA10" i="1"/>
  <c r="AXA11" i="1" s="1"/>
  <c r="AXB10" i="1"/>
  <c r="AXB11" i="1" s="1"/>
  <c r="AXC10" i="1"/>
  <c r="AXC11" i="1" s="1"/>
  <c r="AXD10" i="1"/>
  <c r="AXD11" i="1" s="1"/>
  <c r="ND5" i="2"/>
  <c r="NE5" i="2"/>
  <c r="NF5" i="2"/>
  <c r="NG5" i="2"/>
  <c r="NH5" i="2"/>
  <c r="NI5" i="2"/>
  <c r="ND6" i="2"/>
  <c r="ND7" i="2" s="1"/>
  <c r="NE6" i="2"/>
  <c r="NE7" i="2" s="1"/>
  <c r="NF6" i="2"/>
  <c r="NF7" i="2" s="1"/>
  <c r="NG6" i="2"/>
  <c r="NG7" i="2" s="1"/>
  <c r="NH6" i="2"/>
  <c r="NH7" i="2" s="1"/>
  <c r="NI6" i="2"/>
  <c r="NI7" i="2" s="1"/>
  <c r="MX5" i="2"/>
  <c r="MY5" i="2"/>
  <c r="MZ5" i="2"/>
  <c r="NA5" i="2"/>
  <c r="NB5" i="2"/>
  <c r="NC5" i="2"/>
  <c r="MX6" i="2"/>
  <c r="MX7" i="2" s="1"/>
  <c r="MY6" i="2"/>
  <c r="MY7" i="2" s="1"/>
  <c r="MZ6" i="2"/>
  <c r="MZ7" i="2" s="1"/>
  <c r="NA6" i="2"/>
  <c r="NA7" i="2" s="1"/>
  <c r="NB6" i="2"/>
  <c r="NB7" i="2" s="1"/>
  <c r="NC6" i="2"/>
  <c r="NC7" i="2" s="1"/>
  <c r="AWS5" i="1"/>
  <c r="AWT5" i="1"/>
  <c r="AWU5" i="1"/>
  <c r="AWV5" i="1"/>
  <c r="AWW5" i="1"/>
  <c r="AWX5" i="1"/>
  <c r="AWS6" i="1"/>
  <c r="AWS7" i="1" s="1"/>
  <c r="AWT6" i="1"/>
  <c r="AWT7" i="1" s="1"/>
  <c r="AWU6" i="1"/>
  <c r="AWU7" i="1" s="1"/>
  <c r="AWV6" i="1"/>
  <c r="AWV7" i="1" s="1"/>
  <c r="AWW6" i="1"/>
  <c r="AWW7" i="1" s="1"/>
  <c r="AWX6" i="1"/>
  <c r="AWX7" i="1" s="1"/>
  <c r="AWS8" i="1"/>
  <c r="AWS9" i="1" s="1"/>
  <c r="AWT8" i="1"/>
  <c r="AWT9" i="1" s="1"/>
  <c r="AWU8" i="1"/>
  <c r="AWU9" i="1" s="1"/>
  <c r="AWV8" i="1"/>
  <c r="AWV9" i="1" s="1"/>
  <c r="AWW8" i="1"/>
  <c r="AWW9" i="1" s="1"/>
  <c r="AWX8" i="1"/>
  <c r="AWX9" i="1" s="1"/>
  <c r="AWS10" i="1"/>
  <c r="AWS11" i="1" s="1"/>
  <c r="AWT10" i="1"/>
  <c r="AWT11" i="1" s="1"/>
  <c r="AWU10" i="1"/>
  <c r="AWU11" i="1" s="1"/>
  <c r="AWV10" i="1"/>
  <c r="AWV11" i="1" s="1"/>
  <c r="AWW10" i="1"/>
  <c r="AWW11" i="1" s="1"/>
  <c r="AWX10" i="1"/>
  <c r="AWX11" i="1" s="1"/>
  <c r="MV5" i="2"/>
  <c r="MW5" i="2"/>
  <c r="MV6" i="2"/>
  <c r="MV7" i="2" s="1"/>
  <c r="MW6" i="2"/>
  <c r="MW7" i="2" s="1"/>
  <c r="AWQ5" i="1"/>
  <c r="AWR5" i="1"/>
  <c r="AWQ6" i="1"/>
  <c r="AWQ7" i="1" s="1"/>
  <c r="AWR6" i="1"/>
  <c r="AWR7" i="1" s="1"/>
  <c r="AWQ8" i="1"/>
  <c r="AWQ9" i="1" s="1"/>
  <c r="AWR8" i="1"/>
  <c r="AWR9" i="1" s="1"/>
  <c r="AWQ10" i="1"/>
  <c r="AWQ11" i="1" s="1"/>
  <c r="AWR10" i="1"/>
  <c r="AWR11" i="1" s="1"/>
  <c r="MS5" i="2"/>
  <c r="MT5" i="2"/>
  <c r="MU5" i="2"/>
  <c r="MS6" i="2"/>
  <c r="MS7" i="2" s="1"/>
  <c r="MT6" i="2"/>
  <c r="MT7" i="2" s="1"/>
  <c r="MU6" i="2"/>
  <c r="MU7" i="2" s="1"/>
  <c r="AWN5" i="1"/>
  <c r="AWO5" i="1"/>
  <c r="AWP5" i="1"/>
  <c r="AWN6" i="1"/>
  <c r="AWN7" i="1" s="1"/>
  <c r="AWO6" i="1"/>
  <c r="AWO7" i="1" s="1"/>
  <c r="AWP6" i="1"/>
  <c r="AWP7" i="1" s="1"/>
  <c r="AWN8" i="1"/>
  <c r="AWN9" i="1" s="1"/>
  <c r="AWO8" i="1"/>
  <c r="AWO9" i="1" s="1"/>
  <c r="AWP8" i="1"/>
  <c r="AWP9" i="1" s="1"/>
  <c r="AWN10" i="1"/>
  <c r="AWN11" i="1" s="1"/>
  <c r="AWO10" i="1"/>
  <c r="AWO11" i="1" s="1"/>
  <c r="AWP10" i="1"/>
  <c r="AWP11" i="1" s="1"/>
  <c r="AWK5" i="1"/>
  <c r="AWL5" i="1"/>
  <c r="AWM5" i="1"/>
  <c r="AWK6" i="1"/>
  <c r="AWK7" i="1" s="1"/>
  <c r="AWL6" i="1"/>
  <c r="AWL7" i="1" s="1"/>
  <c r="AWM6" i="1"/>
  <c r="AWM7" i="1" s="1"/>
  <c r="AWK8" i="1"/>
  <c r="AWK9" i="1" s="1"/>
  <c r="AWL8" i="1"/>
  <c r="AWL9" i="1" s="1"/>
  <c r="AWM8" i="1"/>
  <c r="AWM9" i="1" s="1"/>
  <c r="AWK10" i="1"/>
  <c r="AWK11" i="1" s="1"/>
  <c r="AWL10" i="1"/>
  <c r="AWL11" i="1" s="1"/>
  <c r="AWM10" i="1"/>
  <c r="AWM11" i="1" s="1"/>
  <c r="MP5" i="2"/>
  <c r="MQ5" i="2"/>
  <c r="MR5" i="2"/>
  <c r="MP6" i="2"/>
  <c r="MP7" i="2" s="1"/>
  <c r="MQ6" i="2"/>
  <c r="MQ7" i="2" s="1"/>
  <c r="MR6" i="2"/>
  <c r="MR7" i="2" s="1"/>
  <c r="AWH5" i="1"/>
  <c r="AWI5" i="1"/>
  <c r="AWJ5" i="1"/>
  <c r="AWH6" i="1"/>
  <c r="AWH7" i="1" s="1"/>
  <c r="AWI6" i="1"/>
  <c r="AWI7" i="1" s="1"/>
  <c r="AWJ6" i="1"/>
  <c r="AWJ7" i="1" s="1"/>
  <c r="AWH8" i="1"/>
  <c r="AWH9" i="1" s="1"/>
  <c r="AWI8" i="1"/>
  <c r="AWI9" i="1" s="1"/>
  <c r="AWJ8" i="1"/>
  <c r="AWJ9" i="1" s="1"/>
  <c r="AWH10" i="1"/>
  <c r="AWH11" i="1" s="1"/>
  <c r="AWI10" i="1"/>
  <c r="AWI11" i="1" s="1"/>
  <c r="AWJ10" i="1"/>
  <c r="AWJ11" i="1" s="1"/>
  <c r="MM5" i="2"/>
  <c r="MN5" i="2"/>
  <c r="MO5" i="2"/>
  <c r="MM6" i="2"/>
  <c r="MM7" i="2" s="1"/>
  <c r="MN6" i="2"/>
  <c r="MN7" i="2" s="1"/>
  <c r="MO6" i="2"/>
  <c r="MO7" i="2" s="1"/>
  <c r="AWE5" i="1"/>
  <c r="AWF5" i="1"/>
  <c r="AWG5" i="1"/>
  <c r="AWE6" i="1"/>
  <c r="AWE7" i="1" s="1"/>
  <c r="AWF6" i="1"/>
  <c r="AWF7" i="1" s="1"/>
  <c r="AWG6" i="1"/>
  <c r="AWG7" i="1" s="1"/>
  <c r="AWE8" i="1"/>
  <c r="AWE9" i="1" s="1"/>
  <c r="AWF8" i="1"/>
  <c r="AWF9" i="1" s="1"/>
  <c r="AWG8" i="1"/>
  <c r="AWG9" i="1" s="1"/>
  <c r="AWE10" i="1"/>
  <c r="AWE11" i="1" s="1"/>
  <c r="AWF10" i="1"/>
  <c r="AWF11" i="1" s="1"/>
  <c r="AWG10" i="1"/>
  <c r="AWG11" i="1" s="1"/>
  <c r="MJ5" i="2"/>
  <c r="MK5" i="2"/>
  <c r="ML5" i="2"/>
  <c r="MJ6" i="2"/>
  <c r="MJ7" i="2" s="1"/>
  <c r="MK6" i="2"/>
  <c r="MK7" i="2" s="1"/>
  <c r="ML6" i="2"/>
  <c r="ML7" i="2" s="1"/>
  <c r="AWB5" i="1"/>
  <c r="AWC5" i="1"/>
  <c r="AWD5" i="1"/>
  <c r="AWB6" i="1"/>
  <c r="AWB7" i="1" s="1"/>
  <c r="AWC6" i="1"/>
  <c r="AWC7" i="1" s="1"/>
  <c r="AWD6" i="1"/>
  <c r="AWD7" i="1" s="1"/>
  <c r="AWB8" i="1"/>
  <c r="AWB9" i="1" s="1"/>
  <c r="AWC8" i="1"/>
  <c r="AWC9" i="1" s="1"/>
  <c r="AWD8" i="1"/>
  <c r="AWD9" i="1" s="1"/>
  <c r="AWB10" i="1"/>
  <c r="AWB11" i="1" s="1"/>
  <c r="AWC10" i="1"/>
  <c r="AWC11" i="1" s="1"/>
  <c r="AWD10" i="1"/>
  <c r="AWD11" i="1" s="1"/>
  <c r="MG5" i="2"/>
  <c r="MH5" i="2"/>
  <c r="MI5" i="2"/>
  <c r="MG6" i="2"/>
  <c r="MG7" i="2" s="1"/>
  <c r="MH6" i="2"/>
  <c r="MH7" i="2" s="1"/>
  <c r="MI6" i="2"/>
  <c r="MI7" i="2" s="1"/>
  <c r="AVY5" i="1"/>
  <c r="AVZ5" i="1"/>
  <c r="AWA5" i="1"/>
  <c r="AVY6" i="1"/>
  <c r="AVY7" i="1" s="1"/>
  <c r="AVZ6" i="1"/>
  <c r="AVZ7" i="1" s="1"/>
  <c r="AWA6" i="1"/>
  <c r="AWA7" i="1" s="1"/>
  <c r="AVY8" i="1"/>
  <c r="AVY9" i="1" s="1"/>
  <c r="AVZ8" i="1"/>
  <c r="AVZ9" i="1" s="1"/>
  <c r="AWA8" i="1"/>
  <c r="AWA9" i="1" s="1"/>
  <c r="AVY10" i="1"/>
  <c r="AVY11" i="1" s="1"/>
  <c r="AVZ10" i="1"/>
  <c r="AVZ11" i="1" s="1"/>
  <c r="AWA10" i="1"/>
  <c r="AWA11" i="1" s="1"/>
  <c r="MD5" i="2"/>
  <c r="ME5" i="2"/>
  <c r="MF5" i="2"/>
  <c r="MD6" i="2"/>
  <c r="MD7" i="2" s="1"/>
  <c r="ME6" i="2"/>
  <c r="ME7" i="2" s="1"/>
  <c r="MF6" i="2"/>
  <c r="MF7" i="2" s="1"/>
  <c r="AVS5" i="1"/>
  <c r="AVT5" i="1"/>
  <c r="AVU5" i="1"/>
  <c r="AVV5" i="1"/>
  <c r="AVW5" i="1"/>
  <c r="AVX5" i="1"/>
  <c r="AVS6" i="1"/>
  <c r="AVS7" i="1" s="1"/>
  <c r="AVT6" i="1"/>
  <c r="AVT7" i="1" s="1"/>
  <c r="AVU6" i="1"/>
  <c r="AVU7" i="1" s="1"/>
  <c r="AVV6" i="1"/>
  <c r="AVV7" i="1" s="1"/>
  <c r="AVW6" i="1"/>
  <c r="AVW7" i="1" s="1"/>
  <c r="AVX6" i="1"/>
  <c r="AVX7" i="1" s="1"/>
  <c r="AVS8" i="1"/>
  <c r="AVS9" i="1" s="1"/>
  <c r="AVT8" i="1"/>
  <c r="AVT9" i="1" s="1"/>
  <c r="AVU8" i="1"/>
  <c r="AVU9" i="1" s="1"/>
  <c r="AVV8" i="1"/>
  <c r="AVV9" i="1" s="1"/>
  <c r="AVW8" i="1"/>
  <c r="AVW9" i="1" s="1"/>
  <c r="AVX8" i="1"/>
  <c r="AVX9" i="1" s="1"/>
  <c r="AVS10" i="1"/>
  <c r="AVS11" i="1" s="1"/>
  <c r="AVT10" i="1"/>
  <c r="AVT11" i="1" s="1"/>
  <c r="AVU10" i="1"/>
  <c r="AVU11" i="1" s="1"/>
  <c r="AVV10" i="1"/>
  <c r="AVV11" i="1" s="1"/>
  <c r="AVW10" i="1"/>
  <c r="AVW11" i="1" s="1"/>
  <c r="AVX10" i="1"/>
  <c r="AVX11" i="1" s="1"/>
  <c r="LX5" i="2"/>
  <c r="LY5" i="2"/>
  <c r="LZ5" i="2"/>
  <c r="MA5" i="2"/>
  <c r="MB5" i="2"/>
  <c r="MC5" i="2"/>
  <c r="LX6" i="2"/>
  <c r="LX7" i="2" s="1"/>
  <c r="LY6" i="2"/>
  <c r="LY7" i="2" s="1"/>
  <c r="LZ6" i="2"/>
  <c r="LZ7" i="2" s="1"/>
  <c r="MA6" i="2"/>
  <c r="MA7" i="2" s="1"/>
  <c r="MB6" i="2"/>
  <c r="MB7" i="2" s="1"/>
  <c r="MC6" i="2"/>
  <c r="MC7" i="2" s="1"/>
  <c r="LR5" i="2"/>
  <c r="LS5" i="2"/>
  <c r="LT5" i="2"/>
  <c r="LU5" i="2"/>
  <c r="LV5" i="2"/>
  <c r="LW5" i="2"/>
  <c r="LR6" i="2"/>
  <c r="LR7" i="2" s="1"/>
  <c r="LS6" i="2"/>
  <c r="LS7" i="2" s="1"/>
  <c r="LT6" i="2"/>
  <c r="LT7" i="2" s="1"/>
  <c r="LU6" i="2"/>
  <c r="LU7" i="2" s="1"/>
  <c r="LV6" i="2"/>
  <c r="LV7" i="2" s="1"/>
  <c r="LW6" i="2"/>
  <c r="LW7" i="2" s="1"/>
  <c r="AVM5" i="1"/>
  <c r="AVN5" i="1"/>
  <c r="AVO5" i="1"/>
  <c r="AVP5" i="1"/>
  <c r="AVQ5" i="1"/>
  <c r="AVR5" i="1"/>
  <c r="AVM6" i="1"/>
  <c r="AVM7" i="1" s="1"/>
  <c r="AVN6" i="1"/>
  <c r="AVN7" i="1" s="1"/>
  <c r="AVO6" i="1"/>
  <c r="AVO7" i="1" s="1"/>
  <c r="AVP6" i="1"/>
  <c r="AVP7" i="1" s="1"/>
  <c r="AVQ6" i="1"/>
  <c r="AVQ7" i="1" s="1"/>
  <c r="AVR6" i="1"/>
  <c r="AVR7" i="1" s="1"/>
  <c r="AVM8" i="1"/>
  <c r="AVM9" i="1" s="1"/>
  <c r="AVN8" i="1"/>
  <c r="AVN9" i="1" s="1"/>
  <c r="AVO8" i="1"/>
  <c r="AVO9" i="1" s="1"/>
  <c r="AVP8" i="1"/>
  <c r="AVP9" i="1" s="1"/>
  <c r="AVQ8" i="1"/>
  <c r="AVQ9" i="1" s="1"/>
  <c r="AVR8" i="1"/>
  <c r="AVR9" i="1" s="1"/>
  <c r="AVM10" i="1"/>
  <c r="AVM11" i="1" s="1"/>
  <c r="AVN10" i="1"/>
  <c r="AVN11" i="1" s="1"/>
  <c r="AVO10" i="1"/>
  <c r="AVO11" i="1" s="1"/>
  <c r="AVP10" i="1"/>
  <c r="AVP11" i="1" s="1"/>
  <c r="AVQ10" i="1"/>
  <c r="AVQ11" i="1" s="1"/>
  <c r="AVR10" i="1"/>
  <c r="AVR11" i="1" s="1"/>
  <c r="AVD5" i="1"/>
  <c r="AVE5" i="1"/>
  <c r="AVF5" i="1"/>
  <c r="AVG5" i="1"/>
  <c r="AVH5" i="1"/>
  <c r="AVI5" i="1"/>
  <c r="AVJ5" i="1"/>
  <c r="AVK5" i="1"/>
  <c r="AVL5" i="1"/>
  <c r="AVD6" i="1"/>
  <c r="AVD7" i="1" s="1"/>
  <c r="AVE6" i="1"/>
  <c r="AVE7" i="1" s="1"/>
  <c r="AVF6" i="1"/>
  <c r="AVF7" i="1" s="1"/>
  <c r="AVG6" i="1"/>
  <c r="AVG7" i="1" s="1"/>
  <c r="AVH6" i="1"/>
  <c r="AVH7" i="1" s="1"/>
  <c r="AVI6" i="1"/>
  <c r="AVI7" i="1" s="1"/>
  <c r="AVJ6" i="1"/>
  <c r="AVJ7" i="1" s="1"/>
  <c r="AVK6" i="1"/>
  <c r="AVK7" i="1" s="1"/>
  <c r="AVL6" i="1"/>
  <c r="AVL7" i="1" s="1"/>
  <c r="AVD8" i="1"/>
  <c r="AVD9" i="1" s="1"/>
  <c r="AVE8" i="1"/>
  <c r="AVE9" i="1" s="1"/>
  <c r="AVF8" i="1"/>
  <c r="AVF9" i="1" s="1"/>
  <c r="AVG8" i="1"/>
  <c r="AVG9" i="1" s="1"/>
  <c r="AVH8" i="1"/>
  <c r="AVH9" i="1" s="1"/>
  <c r="AVI8" i="1"/>
  <c r="AVI9" i="1" s="1"/>
  <c r="AVJ8" i="1"/>
  <c r="AVJ9" i="1" s="1"/>
  <c r="AVK8" i="1"/>
  <c r="AVK9" i="1" s="1"/>
  <c r="AVL8" i="1"/>
  <c r="AVL9" i="1" s="1"/>
  <c r="AVD10" i="1"/>
  <c r="AVD11" i="1" s="1"/>
  <c r="AVE10" i="1"/>
  <c r="AVE11" i="1" s="1"/>
  <c r="AVF10" i="1"/>
  <c r="AVF11" i="1" s="1"/>
  <c r="AVG10" i="1"/>
  <c r="AVG11" i="1" s="1"/>
  <c r="AVH10" i="1"/>
  <c r="AVH11" i="1" s="1"/>
  <c r="AVI10" i="1"/>
  <c r="AVI11" i="1" s="1"/>
  <c r="AVJ10" i="1"/>
  <c r="AVJ11" i="1" s="1"/>
  <c r="AVK10" i="1"/>
  <c r="AVK11" i="1" s="1"/>
  <c r="AVL10" i="1"/>
  <c r="AVL11" i="1" s="1"/>
  <c r="LO5" i="2"/>
  <c r="LP5" i="2"/>
  <c r="LQ5" i="2"/>
  <c r="LO6" i="2"/>
  <c r="LO7" i="2" s="1"/>
  <c r="LP6" i="2"/>
  <c r="LP7" i="2" s="1"/>
  <c r="LQ6" i="2"/>
  <c r="LQ7" i="2" s="1"/>
  <c r="LI5" i="2"/>
  <c r="LJ5" i="2"/>
  <c r="LK5" i="2"/>
  <c r="LL5" i="2"/>
  <c r="LM5" i="2"/>
  <c r="LN5" i="2"/>
  <c r="LI6" i="2"/>
  <c r="LI7" i="2" s="1"/>
  <c r="LJ6" i="2"/>
  <c r="LJ7" i="2" s="1"/>
  <c r="LK6" i="2"/>
  <c r="LK7" i="2" s="1"/>
  <c r="LL6" i="2"/>
  <c r="LL7" i="2" s="1"/>
  <c r="LM6" i="2"/>
  <c r="LM7" i="2" s="1"/>
  <c r="LN6" i="2"/>
  <c r="LN7" i="2" s="1"/>
  <c r="AVA5" i="1"/>
  <c r="AVB5" i="1"/>
  <c r="AVC5" i="1"/>
  <c r="AVA6" i="1"/>
  <c r="AVA7" i="1" s="1"/>
  <c r="AVB6" i="1"/>
  <c r="AVB7" i="1" s="1"/>
  <c r="AVC6" i="1"/>
  <c r="AVC7" i="1" s="1"/>
  <c r="AVA8" i="1"/>
  <c r="AVA9" i="1" s="1"/>
  <c r="AVB8" i="1"/>
  <c r="AVB9" i="1" s="1"/>
  <c r="AVC8" i="1"/>
  <c r="AVC9" i="1" s="1"/>
  <c r="AVA10" i="1"/>
  <c r="AVA11" i="1" s="1"/>
  <c r="AVB10" i="1"/>
  <c r="AVB11" i="1" s="1"/>
  <c r="AVC10" i="1"/>
  <c r="AVC11" i="1" s="1"/>
  <c r="LF5" i="2"/>
  <c r="LG5" i="2"/>
  <c r="LH5" i="2"/>
  <c r="LF6" i="2"/>
  <c r="LF7" i="2" s="1"/>
  <c r="LG6" i="2"/>
  <c r="LG7" i="2" s="1"/>
  <c r="LH6" i="2"/>
  <c r="LH7" i="2" s="1"/>
  <c r="LC5" i="2"/>
  <c r="LD5" i="2"/>
  <c r="LE5" i="2"/>
  <c r="LC6" i="2"/>
  <c r="LC7" i="2" s="1"/>
  <c r="LD6" i="2"/>
  <c r="LD7" i="2" s="1"/>
  <c r="LE6" i="2"/>
  <c r="LE7" i="2" s="1"/>
  <c r="AUX5" i="1"/>
  <c r="AUY5" i="1"/>
  <c r="AUZ5" i="1"/>
  <c r="AUX6" i="1"/>
  <c r="AUX7" i="1" s="1"/>
  <c r="AUY6" i="1"/>
  <c r="AUY7" i="1" s="1"/>
  <c r="AUZ6" i="1"/>
  <c r="AUZ7" i="1" s="1"/>
  <c r="AUX8" i="1"/>
  <c r="AUX9" i="1" s="1"/>
  <c r="AUY8" i="1"/>
  <c r="AUY9" i="1" s="1"/>
  <c r="AUZ8" i="1"/>
  <c r="AUZ9" i="1" s="1"/>
  <c r="AUX10" i="1"/>
  <c r="AUX11" i="1" s="1"/>
  <c r="AUY10" i="1"/>
  <c r="AUY11" i="1" s="1"/>
  <c r="AUZ10" i="1"/>
  <c r="AUZ11" i="1" s="1"/>
  <c r="KW5" i="2"/>
  <c r="KX5" i="2"/>
  <c r="KY5" i="2"/>
  <c r="KZ5" i="2"/>
  <c r="LA5" i="2"/>
  <c r="LB5" i="2"/>
  <c r="KW6" i="2"/>
  <c r="KW7" i="2" s="1"/>
  <c r="KX6" i="2"/>
  <c r="KX7" i="2" s="1"/>
  <c r="KY6" i="2"/>
  <c r="KY7" i="2" s="1"/>
  <c r="KZ6" i="2"/>
  <c r="KZ7" i="2" s="1"/>
  <c r="LA6" i="2"/>
  <c r="LA7" i="2" s="1"/>
  <c r="LB6" i="2"/>
  <c r="LB7" i="2" s="1"/>
  <c r="AUR5" i="1"/>
  <c r="AUS5" i="1"/>
  <c r="AUT5" i="1"/>
  <c r="AUU5" i="1"/>
  <c r="AUV5" i="1"/>
  <c r="AUW5" i="1"/>
  <c r="AUR6" i="1"/>
  <c r="AUR7" i="1" s="1"/>
  <c r="AUS6" i="1"/>
  <c r="AUS7" i="1" s="1"/>
  <c r="AUT6" i="1"/>
  <c r="AUT7" i="1" s="1"/>
  <c r="AUU6" i="1"/>
  <c r="AUU7" i="1" s="1"/>
  <c r="AUV6" i="1"/>
  <c r="AUV7" i="1" s="1"/>
  <c r="AUW6" i="1"/>
  <c r="AUW7" i="1" s="1"/>
  <c r="AUR8" i="1"/>
  <c r="AUR9" i="1" s="1"/>
  <c r="AUS8" i="1"/>
  <c r="AUS9" i="1" s="1"/>
  <c r="AUT8" i="1"/>
  <c r="AUT9" i="1" s="1"/>
  <c r="AUU8" i="1"/>
  <c r="AUU9" i="1" s="1"/>
  <c r="AUV8" i="1"/>
  <c r="AUV9" i="1" s="1"/>
  <c r="AUW8" i="1"/>
  <c r="AUW9" i="1" s="1"/>
  <c r="AUR10" i="1"/>
  <c r="AUR11" i="1" s="1"/>
  <c r="AUS10" i="1"/>
  <c r="AUS11" i="1" s="1"/>
  <c r="AUT10" i="1"/>
  <c r="AUT11" i="1" s="1"/>
  <c r="AUU10" i="1"/>
  <c r="AUU11" i="1" s="1"/>
  <c r="AUV10" i="1"/>
  <c r="AUV11" i="1" s="1"/>
  <c r="AUW10" i="1"/>
  <c r="AUW11" i="1" s="1"/>
  <c r="AUO5" i="1"/>
  <c r="AUP5" i="1"/>
  <c r="AUQ5" i="1"/>
  <c r="AUO6" i="1"/>
  <c r="AUO7" i="1" s="1"/>
  <c r="AUP6" i="1"/>
  <c r="AUP7" i="1" s="1"/>
  <c r="AUQ6" i="1"/>
  <c r="AUQ7" i="1" s="1"/>
  <c r="AUO8" i="1"/>
  <c r="AUO9" i="1" s="1"/>
  <c r="AUP8" i="1"/>
  <c r="AUP9" i="1" s="1"/>
  <c r="AUQ8" i="1"/>
  <c r="AUQ9" i="1" s="1"/>
  <c r="AUO10" i="1"/>
  <c r="AUO11" i="1" s="1"/>
  <c r="AUP10" i="1"/>
  <c r="AUP11" i="1" s="1"/>
  <c r="AUQ10" i="1"/>
  <c r="AUQ11" i="1" s="1"/>
  <c r="KT5" i="2"/>
  <c r="KU5" i="2"/>
  <c r="KV5" i="2"/>
  <c r="KT6" i="2"/>
  <c r="KT7" i="2" s="1"/>
  <c r="KU6" i="2"/>
  <c r="KU7" i="2" s="1"/>
  <c r="KV6" i="2"/>
  <c r="KV7" i="2" s="1"/>
  <c r="AUI5" i="1"/>
  <c r="AUJ5" i="1"/>
  <c r="AUK5" i="1"/>
  <c r="AUL5" i="1"/>
  <c r="AUM5" i="1"/>
  <c r="AUN5" i="1"/>
  <c r="AUI6" i="1"/>
  <c r="AUI7" i="1" s="1"/>
  <c r="AUJ6" i="1"/>
  <c r="AUJ7" i="1" s="1"/>
  <c r="AUK6" i="1"/>
  <c r="AUK7" i="1" s="1"/>
  <c r="AUL6" i="1"/>
  <c r="AUL7" i="1" s="1"/>
  <c r="AUM6" i="1"/>
  <c r="AUM7" i="1" s="1"/>
  <c r="AUN6" i="1"/>
  <c r="AUN7" i="1" s="1"/>
  <c r="AUI8" i="1"/>
  <c r="AUI9" i="1" s="1"/>
  <c r="AUJ8" i="1"/>
  <c r="AUJ9" i="1" s="1"/>
  <c r="AUK8" i="1"/>
  <c r="AUK9" i="1" s="1"/>
  <c r="AUL8" i="1"/>
  <c r="AUL9" i="1" s="1"/>
  <c r="AUM8" i="1"/>
  <c r="AUM9" i="1" s="1"/>
  <c r="AUN8" i="1"/>
  <c r="AUN9" i="1" s="1"/>
  <c r="AUI10" i="1"/>
  <c r="AUI11" i="1" s="1"/>
  <c r="AUJ10" i="1"/>
  <c r="AUJ11" i="1" s="1"/>
  <c r="AUK10" i="1"/>
  <c r="AUK11" i="1" s="1"/>
  <c r="AUL10" i="1"/>
  <c r="AUL11" i="1" s="1"/>
  <c r="AUM10" i="1"/>
  <c r="AUM11" i="1" s="1"/>
  <c r="AUN10" i="1"/>
  <c r="AUN11" i="1" s="1"/>
  <c r="KN5" i="2"/>
  <c r="KO5" i="2"/>
  <c r="KP5" i="2"/>
  <c r="KQ5" i="2"/>
  <c r="KR5" i="2"/>
  <c r="KS5" i="2"/>
  <c r="KN6" i="2"/>
  <c r="KN7" i="2" s="1"/>
  <c r="KO6" i="2"/>
  <c r="KO7" i="2" s="1"/>
  <c r="KP6" i="2"/>
  <c r="KP7" i="2" s="1"/>
  <c r="KQ6" i="2"/>
  <c r="KQ7" i="2" s="1"/>
  <c r="KR6" i="2"/>
  <c r="KR7" i="2" s="1"/>
  <c r="KS6" i="2"/>
  <c r="KS7" i="2" s="1"/>
  <c r="AUC5" i="1"/>
  <c r="AUD5" i="1"/>
  <c r="AUE5" i="1"/>
  <c r="AUF5" i="1"/>
  <c r="AUG5" i="1"/>
  <c r="AUH5" i="1"/>
  <c r="AUC6" i="1"/>
  <c r="AUC7" i="1" s="1"/>
  <c r="AUD6" i="1"/>
  <c r="AUD7" i="1" s="1"/>
  <c r="AUE6" i="1"/>
  <c r="AUE7" i="1" s="1"/>
  <c r="AUF6" i="1"/>
  <c r="AUF7" i="1" s="1"/>
  <c r="AUG6" i="1"/>
  <c r="AUG7" i="1" s="1"/>
  <c r="AUH6" i="1"/>
  <c r="AUH7" i="1" s="1"/>
  <c r="AUC8" i="1"/>
  <c r="AUC9" i="1" s="1"/>
  <c r="AUD8" i="1"/>
  <c r="AUD9" i="1" s="1"/>
  <c r="AUE8" i="1"/>
  <c r="AUE9" i="1" s="1"/>
  <c r="AUF8" i="1"/>
  <c r="AUF9" i="1" s="1"/>
  <c r="AUG8" i="1"/>
  <c r="AUG9" i="1" s="1"/>
  <c r="AUH8" i="1"/>
  <c r="AUH9" i="1" s="1"/>
  <c r="AUC10" i="1"/>
  <c r="AUC11" i="1" s="1"/>
  <c r="AUD10" i="1"/>
  <c r="AUD11" i="1" s="1"/>
  <c r="AUE10" i="1"/>
  <c r="AUE11" i="1" s="1"/>
  <c r="AUF10" i="1"/>
  <c r="AUF11" i="1" s="1"/>
  <c r="AUG10" i="1"/>
  <c r="AUG11" i="1" s="1"/>
  <c r="AUH10" i="1"/>
  <c r="AUH11" i="1" s="1"/>
  <c r="KH5" i="2"/>
  <c r="KI5" i="2"/>
  <c r="KJ5" i="2"/>
  <c r="KK5" i="2"/>
  <c r="KL5" i="2"/>
  <c r="KM5" i="2"/>
  <c r="KH6" i="2"/>
  <c r="KH7" i="2" s="1"/>
  <c r="KI6" i="2"/>
  <c r="KI7" i="2" s="1"/>
  <c r="KJ6" i="2"/>
  <c r="KJ7" i="2" s="1"/>
  <c r="KK6" i="2"/>
  <c r="KK7" i="2" s="1"/>
  <c r="KL6" i="2"/>
  <c r="KL7" i="2" s="1"/>
  <c r="KM6" i="2"/>
  <c r="KM7" i="2" s="1"/>
  <c r="KE5" i="2"/>
  <c r="KF5" i="2"/>
  <c r="KG5" i="2"/>
  <c r="KE6" i="2"/>
  <c r="KE7" i="2" s="1"/>
  <c r="KF6" i="2"/>
  <c r="KF7" i="2" s="1"/>
  <c r="KG6" i="2"/>
  <c r="KG7" i="2" s="1"/>
  <c r="JV5" i="2"/>
  <c r="JW5" i="2"/>
  <c r="JX5" i="2"/>
  <c r="JY5" i="2"/>
  <c r="JZ5" i="2"/>
  <c r="KA5" i="2"/>
  <c r="KB5" i="2"/>
  <c r="KC5" i="2"/>
  <c r="KD5" i="2"/>
  <c r="JV6" i="2"/>
  <c r="JV7" i="2" s="1"/>
  <c r="JW6" i="2"/>
  <c r="JW7" i="2" s="1"/>
  <c r="JX6" i="2"/>
  <c r="JX7" i="2" s="1"/>
  <c r="JY6" i="2"/>
  <c r="JY7" i="2" s="1"/>
  <c r="JZ6" i="2"/>
  <c r="JZ7" i="2" s="1"/>
  <c r="KA6" i="2"/>
  <c r="KA7" i="2" s="1"/>
  <c r="KB6" i="2"/>
  <c r="KB7" i="2" s="1"/>
  <c r="KC6" i="2"/>
  <c r="KC7" i="2" s="1"/>
  <c r="KD6" i="2"/>
  <c r="KD7" i="2" s="1"/>
  <c r="ATX5" i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G11" i="1" s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PC6" i="2"/>
  <c r="PC5" i="2"/>
  <c r="PC4" i="2"/>
  <c r="PC3" i="2"/>
  <c r="PC2" i="2"/>
  <c r="AYX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YX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YX5" i="1"/>
  <c r="AYX4" i="1"/>
  <c r="AYX3" i="1"/>
</calcChain>
</file>

<file path=xl/sharedStrings.xml><?xml version="1.0" encoding="utf-8"?>
<sst xmlns="http://schemas.openxmlformats.org/spreadsheetml/2006/main" count="1803" uniqueCount="51">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</sst>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663300"/>
      <color rgb="FFB88300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PC10"/>
  <sheetViews>
    <sheetView tabSelected="1" workbookViewId="0">
      <pane xSplit="1" topLeftCell="ON1" activePane="topRight" state="frozen"/>
      <selection pane="topRight" activeCell="OY1" sqref="OY1:PA9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414" width="10.44140625" customWidth="1"/>
    <col min="418" max="418" width="30.33203125" bestFit="1" customWidth="1"/>
    <col min="419" max="419" width="15.5546875" bestFit="1" customWidth="1"/>
  </cols>
  <sheetData>
    <row r="1" spans="1:419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34">
        <v>281</v>
      </c>
      <c r="JW1" s="34">
        <v>282</v>
      </c>
      <c r="JX1" s="34">
        <v>283</v>
      </c>
      <c r="JY1" s="34">
        <v>284</v>
      </c>
      <c r="JZ1" s="34">
        <v>285</v>
      </c>
      <c r="KA1" s="34">
        <v>286</v>
      </c>
      <c r="KB1" s="34">
        <v>287</v>
      </c>
      <c r="KC1" s="34">
        <v>288</v>
      </c>
      <c r="KD1" s="34">
        <v>289</v>
      </c>
      <c r="KE1" s="34">
        <v>290</v>
      </c>
      <c r="KF1" s="34">
        <v>291</v>
      </c>
      <c r="KG1" s="34">
        <v>292</v>
      </c>
      <c r="KH1" s="34">
        <v>293</v>
      </c>
      <c r="KI1" s="34">
        <v>294</v>
      </c>
      <c r="KJ1" s="34">
        <v>295</v>
      </c>
      <c r="KK1" s="34">
        <v>296</v>
      </c>
      <c r="KL1" s="34">
        <v>297</v>
      </c>
      <c r="KM1" s="34">
        <v>298</v>
      </c>
      <c r="KN1" s="34">
        <v>299</v>
      </c>
      <c r="KO1" s="34">
        <v>300</v>
      </c>
      <c r="KP1" s="34">
        <v>301</v>
      </c>
      <c r="KQ1" s="34">
        <v>302</v>
      </c>
      <c r="KR1" s="34">
        <v>303</v>
      </c>
      <c r="KS1" s="34">
        <v>304</v>
      </c>
      <c r="KT1" s="34">
        <v>305</v>
      </c>
      <c r="KU1" s="34">
        <v>306</v>
      </c>
      <c r="KV1" s="34">
        <v>307</v>
      </c>
      <c r="KW1" s="34">
        <v>308</v>
      </c>
      <c r="KX1" s="34">
        <v>309</v>
      </c>
      <c r="KY1" s="34">
        <v>310</v>
      </c>
      <c r="KZ1" s="34">
        <v>311</v>
      </c>
      <c r="LA1" s="34">
        <v>312</v>
      </c>
      <c r="LB1" s="34">
        <v>313</v>
      </c>
      <c r="LC1" s="34">
        <v>314</v>
      </c>
      <c r="LD1" s="34">
        <v>315</v>
      </c>
      <c r="LE1" s="34">
        <v>316</v>
      </c>
      <c r="LF1" s="34">
        <v>317</v>
      </c>
      <c r="LG1" s="34">
        <v>318</v>
      </c>
      <c r="LH1" s="34">
        <v>319</v>
      </c>
      <c r="LI1" s="34">
        <v>320</v>
      </c>
      <c r="LJ1" s="34">
        <v>321</v>
      </c>
      <c r="LK1" s="34">
        <v>322</v>
      </c>
      <c r="LL1" s="34">
        <v>323</v>
      </c>
      <c r="LM1" s="34">
        <v>324</v>
      </c>
      <c r="LN1" s="34">
        <v>325</v>
      </c>
      <c r="LO1" s="34">
        <v>326</v>
      </c>
      <c r="LP1" s="34">
        <v>327</v>
      </c>
      <c r="LQ1" s="34">
        <v>328</v>
      </c>
      <c r="LR1" s="34">
        <v>329</v>
      </c>
      <c r="LS1" s="34">
        <v>330</v>
      </c>
      <c r="LT1" s="34">
        <v>331</v>
      </c>
      <c r="LU1" s="34">
        <v>332</v>
      </c>
      <c r="LV1" s="34">
        <v>333</v>
      </c>
      <c r="LW1" s="34">
        <v>334</v>
      </c>
      <c r="LX1" s="34">
        <v>335</v>
      </c>
      <c r="LY1" s="34">
        <v>336</v>
      </c>
      <c r="LZ1" s="34">
        <v>337</v>
      </c>
      <c r="MA1" s="34">
        <v>338</v>
      </c>
      <c r="MB1" s="34">
        <v>339</v>
      </c>
      <c r="MC1" s="34">
        <v>340</v>
      </c>
      <c r="MD1" s="34">
        <v>341</v>
      </c>
      <c r="ME1" s="34">
        <v>342</v>
      </c>
      <c r="MF1" s="34">
        <v>343</v>
      </c>
      <c r="MG1" s="34">
        <v>344</v>
      </c>
      <c r="MH1" s="34">
        <v>345</v>
      </c>
      <c r="MI1" s="34">
        <v>346</v>
      </c>
      <c r="MJ1" s="34">
        <v>347</v>
      </c>
      <c r="MK1" s="34">
        <v>348</v>
      </c>
      <c r="ML1" s="34">
        <v>349</v>
      </c>
      <c r="MM1" s="34">
        <v>350</v>
      </c>
      <c r="MN1" s="34">
        <v>351</v>
      </c>
      <c r="MO1" s="34">
        <v>352</v>
      </c>
      <c r="MP1" s="34">
        <v>353</v>
      </c>
      <c r="MQ1" s="34">
        <v>354</v>
      </c>
      <c r="MR1" s="34">
        <v>355</v>
      </c>
      <c r="MS1" s="34">
        <v>356</v>
      </c>
      <c r="MT1" s="34">
        <v>357</v>
      </c>
      <c r="MU1" s="34">
        <v>358</v>
      </c>
      <c r="MV1" s="34">
        <v>359</v>
      </c>
      <c r="MW1" s="34">
        <v>360</v>
      </c>
      <c r="MX1" s="34">
        <v>361</v>
      </c>
      <c r="MY1" s="34">
        <v>362</v>
      </c>
      <c r="MZ1" s="34">
        <v>363</v>
      </c>
      <c r="NA1" s="34">
        <v>364</v>
      </c>
      <c r="NB1" s="34">
        <v>365</v>
      </c>
      <c r="NC1" s="34">
        <v>366</v>
      </c>
      <c r="ND1" s="34">
        <v>367</v>
      </c>
      <c r="NE1" s="34">
        <v>368</v>
      </c>
      <c r="NF1" s="34">
        <v>369</v>
      </c>
      <c r="NG1" s="34">
        <v>370</v>
      </c>
      <c r="NH1" s="34">
        <v>371</v>
      </c>
      <c r="NI1" s="34">
        <v>372</v>
      </c>
      <c r="NJ1" s="34">
        <v>373</v>
      </c>
      <c r="NK1" s="34">
        <v>374</v>
      </c>
      <c r="NL1" s="34">
        <v>375</v>
      </c>
      <c r="NM1" s="34">
        <v>376</v>
      </c>
      <c r="NN1" s="34">
        <v>377</v>
      </c>
      <c r="NO1" s="34">
        <v>378</v>
      </c>
      <c r="NP1" s="34">
        <v>379</v>
      </c>
      <c r="NQ1" s="34">
        <v>380</v>
      </c>
      <c r="NR1" s="34">
        <v>381</v>
      </c>
      <c r="NS1" s="34">
        <v>382</v>
      </c>
      <c r="NT1" s="34">
        <v>383</v>
      </c>
      <c r="NU1" s="34">
        <v>384</v>
      </c>
      <c r="NV1" s="34">
        <v>385</v>
      </c>
      <c r="NW1" s="34">
        <v>386</v>
      </c>
      <c r="NX1" s="34">
        <v>387</v>
      </c>
      <c r="NY1" s="34">
        <v>388</v>
      </c>
      <c r="NZ1" s="34">
        <v>389</v>
      </c>
      <c r="OA1" s="34">
        <v>390</v>
      </c>
      <c r="OB1" s="34">
        <v>391</v>
      </c>
      <c r="OC1" s="34">
        <v>392</v>
      </c>
      <c r="OD1" s="34">
        <v>393</v>
      </c>
      <c r="OE1" s="34">
        <v>394</v>
      </c>
      <c r="OF1" s="34">
        <v>395</v>
      </c>
      <c r="OG1" s="34">
        <v>396</v>
      </c>
      <c r="OH1" s="34">
        <v>397</v>
      </c>
      <c r="OI1" s="34">
        <v>398</v>
      </c>
      <c r="OJ1" s="34">
        <v>399</v>
      </c>
      <c r="OK1" s="34">
        <v>400</v>
      </c>
      <c r="OL1" s="34">
        <v>401</v>
      </c>
      <c r="OM1" s="34">
        <v>402</v>
      </c>
      <c r="ON1" s="34">
        <v>403</v>
      </c>
      <c r="OO1" s="34">
        <v>404</v>
      </c>
      <c r="OP1" s="34">
        <v>405</v>
      </c>
      <c r="OQ1" s="34">
        <v>406</v>
      </c>
      <c r="OR1" s="34">
        <v>407</v>
      </c>
      <c r="OS1" s="34">
        <v>408</v>
      </c>
      <c r="OT1" s="34">
        <v>409</v>
      </c>
      <c r="OU1" s="34">
        <v>410</v>
      </c>
      <c r="OV1" s="34">
        <v>411</v>
      </c>
      <c r="OW1" s="34">
        <v>412</v>
      </c>
      <c r="OX1" s="34">
        <v>413</v>
      </c>
      <c r="OY1" s="91" t="s">
        <v>20</v>
      </c>
      <c r="OZ1" s="92"/>
      <c r="PA1" s="92"/>
      <c r="PB1" s="18" t="s">
        <v>14</v>
      </c>
      <c r="PC1" s="7">
        <v>46119</v>
      </c>
    </row>
    <row r="2" spans="1:419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6">
        <v>46134</v>
      </c>
      <c r="JW2" s="6">
        <v>46135</v>
      </c>
      <c r="JX2" s="6">
        <v>46136</v>
      </c>
      <c r="JY2" s="6">
        <v>46137</v>
      </c>
      <c r="JZ2" s="6">
        <v>46138</v>
      </c>
      <c r="KA2" s="6">
        <v>46139</v>
      </c>
      <c r="KB2" s="6">
        <v>46140</v>
      </c>
      <c r="KC2" s="6">
        <v>46141</v>
      </c>
      <c r="KD2" s="6">
        <v>46142</v>
      </c>
      <c r="KE2" s="6">
        <v>46143</v>
      </c>
      <c r="KF2" s="6">
        <v>46144</v>
      </c>
      <c r="KG2" s="6">
        <v>46145</v>
      </c>
      <c r="KH2" s="6">
        <v>46146</v>
      </c>
      <c r="KI2" s="6">
        <v>46147</v>
      </c>
      <c r="KJ2" s="6">
        <v>46148</v>
      </c>
      <c r="KK2" s="6">
        <v>46149</v>
      </c>
      <c r="KL2" s="6">
        <v>46150</v>
      </c>
      <c r="KM2" s="6">
        <v>46151</v>
      </c>
      <c r="KN2" s="6">
        <v>46152</v>
      </c>
      <c r="KO2" s="6">
        <v>46153</v>
      </c>
      <c r="KP2" s="6">
        <v>46154</v>
      </c>
      <c r="KQ2" s="6">
        <v>46155</v>
      </c>
      <c r="KR2" s="6">
        <v>46156</v>
      </c>
      <c r="KS2" s="6">
        <v>46157</v>
      </c>
      <c r="KT2" s="6">
        <v>46158</v>
      </c>
      <c r="KU2" s="6">
        <v>46159</v>
      </c>
      <c r="KV2" s="6">
        <v>46160</v>
      </c>
      <c r="KW2" s="6">
        <v>46161</v>
      </c>
      <c r="KX2" s="6">
        <v>46162</v>
      </c>
      <c r="KY2" s="6">
        <v>46163</v>
      </c>
      <c r="KZ2" s="6">
        <v>46164</v>
      </c>
      <c r="LA2" s="6">
        <v>46165</v>
      </c>
      <c r="LB2" s="6">
        <v>46166</v>
      </c>
      <c r="LC2" s="6">
        <v>46167</v>
      </c>
      <c r="LD2" s="6">
        <v>46168</v>
      </c>
      <c r="LE2" s="6">
        <v>46169</v>
      </c>
      <c r="LF2" s="6">
        <v>46170</v>
      </c>
      <c r="LG2" s="6">
        <v>46171</v>
      </c>
      <c r="LH2" s="6">
        <v>46172</v>
      </c>
      <c r="LI2" s="6">
        <v>46173</v>
      </c>
      <c r="LJ2" s="6">
        <v>46174</v>
      </c>
      <c r="LK2" s="6">
        <v>46175</v>
      </c>
      <c r="LL2" s="6">
        <v>46176</v>
      </c>
      <c r="LM2" s="6">
        <v>46177</v>
      </c>
      <c r="LN2" s="6">
        <v>46178</v>
      </c>
      <c r="LO2" s="6">
        <v>46179</v>
      </c>
      <c r="LP2" s="6">
        <v>46180</v>
      </c>
      <c r="LQ2" s="6">
        <v>46181</v>
      </c>
      <c r="LR2" s="6">
        <v>46182</v>
      </c>
      <c r="LS2" s="6">
        <v>46183</v>
      </c>
      <c r="LT2" s="6">
        <v>46184</v>
      </c>
      <c r="LU2" s="6">
        <v>46185</v>
      </c>
      <c r="LV2" s="6">
        <v>46186</v>
      </c>
      <c r="LW2" s="6">
        <v>46187</v>
      </c>
      <c r="LX2" s="6">
        <v>46188</v>
      </c>
      <c r="LY2" s="6">
        <v>46189</v>
      </c>
      <c r="LZ2" s="6">
        <v>46190</v>
      </c>
      <c r="MA2" s="6">
        <v>46191</v>
      </c>
      <c r="MB2" s="6">
        <v>46192</v>
      </c>
      <c r="MC2" s="6">
        <v>46193</v>
      </c>
      <c r="MD2" s="6">
        <v>46194</v>
      </c>
      <c r="ME2" s="6">
        <v>46195</v>
      </c>
      <c r="MF2" s="6">
        <v>46196</v>
      </c>
      <c r="MG2" s="6">
        <v>46197</v>
      </c>
      <c r="MH2" s="6">
        <v>46198</v>
      </c>
      <c r="MI2" s="6">
        <v>46199</v>
      </c>
      <c r="MJ2" s="6">
        <v>46200</v>
      </c>
      <c r="MK2" s="6">
        <v>46201</v>
      </c>
      <c r="ML2" s="6">
        <v>46202</v>
      </c>
      <c r="MM2" s="6">
        <v>46203</v>
      </c>
      <c r="MN2" s="6">
        <v>46204</v>
      </c>
      <c r="MO2" s="6">
        <v>46205</v>
      </c>
      <c r="MP2" s="6">
        <v>46206</v>
      </c>
      <c r="MQ2" s="6">
        <v>46207</v>
      </c>
      <c r="MR2" s="6">
        <v>46208</v>
      </c>
      <c r="MS2" s="6">
        <v>46209</v>
      </c>
      <c r="MT2" s="6">
        <v>46210</v>
      </c>
      <c r="MU2" s="6">
        <v>46211</v>
      </c>
      <c r="MV2" s="6">
        <v>46212</v>
      </c>
      <c r="MW2" s="6">
        <v>46213</v>
      </c>
      <c r="MX2" s="6">
        <v>46214</v>
      </c>
      <c r="MY2" s="6">
        <v>46215</v>
      </c>
      <c r="MZ2" s="6">
        <v>46216</v>
      </c>
      <c r="NA2" s="6">
        <v>46217</v>
      </c>
      <c r="NB2" s="6">
        <v>46218</v>
      </c>
      <c r="NC2" s="6">
        <v>46219</v>
      </c>
      <c r="ND2" s="6">
        <v>46220</v>
      </c>
      <c r="NE2" s="6">
        <v>46221</v>
      </c>
      <c r="NF2" s="6">
        <v>46222</v>
      </c>
      <c r="NG2" s="6">
        <v>46223</v>
      </c>
      <c r="NH2" s="6">
        <v>46224</v>
      </c>
      <c r="NI2" s="6">
        <v>46225</v>
      </c>
      <c r="NJ2" s="6">
        <v>46226</v>
      </c>
      <c r="NK2" s="6">
        <v>46227</v>
      </c>
      <c r="NL2" s="6">
        <v>46228</v>
      </c>
      <c r="NM2" s="6">
        <v>46229</v>
      </c>
      <c r="NN2" s="6">
        <v>46230</v>
      </c>
      <c r="NO2" s="6">
        <v>46231</v>
      </c>
      <c r="NP2" s="6">
        <v>46232</v>
      </c>
      <c r="NQ2" s="6">
        <v>46233</v>
      </c>
      <c r="NR2" s="6">
        <v>46234</v>
      </c>
      <c r="NS2" s="6">
        <v>46235</v>
      </c>
      <c r="NT2" s="6">
        <v>46236</v>
      </c>
      <c r="NU2" s="6">
        <v>46237</v>
      </c>
      <c r="NV2" s="6">
        <v>46238</v>
      </c>
      <c r="NW2" s="6">
        <v>46239</v>
      </c>
      <c r="NX2" s="6">
        <v>46240</v>
      </c>
      <c r="NY2" s="6">
        <v>46241</v>
      </c>
      <c r="NZ2" s="6">
        <v>46242</v>
      </c>
      <c r="OA2" s="6">
        <v>46243</v>
      </c>
      <c r="OB2" s="6">
        <v>46244</v>
      </c>
      <c r="OC2" s="6">
        <v>46245</v>
      </c>
      <c r="OD2" s="6">
        <v>46246</v>
      </c>
      <c r="OE2" s="6">
        <v>46247</v>
      </c>
      <c r="OF2" s="6">
        <v>46248</v>
      </c>
      <c r="OG2" s="6">
        <v>46249</v>
      </c>
      <c r="OH2" s="6">
        <v>46250</v>
      </c>
      <c r="OI2" s="6">
        <v>46251</v>
      </c>
      <c r="OJ2" s="6">
        <v>46252</v>
      </c>
      <c r="OK2" s="6">
        <v>46253</v>
      </c>
      <c r="OL2" s="6">
        <v>46254</v>
      </c>
      <c r="OM2" s="6">
        <v>46255</v>
      </c>
      <c r="ON2" s="6">
        <v>46256</v>
      </c>
      <c r="OO2" s="6">
        <v>46257</v>
      </c>
      <c r="OP2" s="6">
        <v>46258</v>
      </c>
      <c r="OQ2" s="6">
        <v>46259</v>
      </c>
      <c r="OR2" s="6">
        <v>46260</v>
      </c>
      <c r="OS2" s="6">
        <v>46261</v>
      </c>
      <c r="OT2" s="6">
        <v>46262</v>
      </c>
      <c r="OU2" s="6">
        <v>46263</v>
      </c>
      <c r="OV2" s="6">
        <v>46264</v>
      </c>
      <c r="OW2" s="6">
        <v>46265</v>
      </c>
      <c r="OX2" s="6">
        <v>46266</v>
      </c>
      <c r="OY2" s="93"/>
      <c r="OZ2" s="94"/>
      <c r="PA2" s="94"/>
      <c r="PB2" s="18" t="s">
        <v>28</v>
      </c>
      <c r="PC2" s="8">
        <f ca="1">((NOW()-PC1)*24)</f>
        <v>3569.3672111111227</v>
      </c>
    </row>
    <row r="3" spans="1:419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5" t="s">
        <v>3</v>
      </c>
      <c r="JW3" s="5" t="s">
        <v>4</v>
      </c>
      <c r="JX3" s="5" t="s">
        <v>5</v>
      </c>
      <c r="JY3" s="5" t="s">
        <v>6</v>
      </c>
      <c r="JZ3" s="5" t="s">
        <v>0</v>
      </c>
      <c r="KA3" s="5" t="s">
        <v>1</v>
      </c>
      <c r="KB3" s="5" t="s">
        <v>2</v>
      </c>
      <c r="KC3" s="5" t="s">
        <v>3</v>
      </c>
      <c r="KD3" s="5" t="s">
        <v>4</v>
      </c>
      <c r="KE3" s="5" t="s">
        <v>5</v>
      </c>
      <c r="KF3" s="5" t="s">
        <v>6</v>
      </c>
      <c r="KG3" s="5" t="s">
        <v>0</v>
      </c>
      <c r="KH3" s="5" t="s">
        <v>1</v>
      </c>
      <c r="KI3" s="5" t="s">
        <v>2</v>
      </c>
      <c r="KJ3" s="5" t="s">
        <v>3</v>
      </c>
      <c r="KK3" s="5" t="s">
        <v>4</v>
      </c>
      <c r="KL3" s="5" t="s">
        <v>5</v>
      </c>
      <c r="KM3" s="5" t="s">
        <v>6</v>
      </c>
      <c r="KN3" s="5" t="s">
        <v>0</v>
      </c>
      <c r="KO3" s="5" t="s">
        <v>1</v>
      </c>
      <c r="KP3" s="5" t="s">
        <v>2</v>
      </c>
      <c r="KQ3" s="5" t="s">
        <v>3</v>
      </c>
      <c r="KR3" s="5" t="s">
        <v>4</v>
      </c>
      <c r="KS3" s="5" t="s">
        <v>5</v>
      </c>
      <c r="KT3" s="5" t="s">
        <v>6</v>
      </c>
      <c r="KU3" s="5" t="s">
        <v>0</v>
      </c>
      <c r="KV3" s="5" t="s">
        <v>1</v>
      </c>
      <c r="KW3" s="5" t="s">
        <v>2</v>
      </c>
      <c r="KX3" s="5" t="s">
        <v>3</v>
      </c>
      <c r="KY3" s="5" t="s">
        <v>4</v>
      </c>
      <c r="KZ3" s="5" t="s">
        <v>5</v>
      </c>
      <c r="LA3" s="5" t="s">
        <v>6</v>
      </c>
      <c r="LB3" s="5" t="s">
        <v>0</v>
      </c>
      <c r="LC3" s="5" t="s">
        <v>1</v>
      </c>
      <c r="LD3" s="5" t="s">
        <v>2</v>
      </c>
      <c r="LE3" s="5" t="s">
        <v>3</v>
      </c>
      <c r="LF3" s="5" t="s">
        <v>4</v>
      </c>
      <c r="LG3" s="5" t="s">
        <v>5</v>
      </c>
      <c r="LH3" s="5" t="s">
        <v>6</v>
      </c>
      <c r="LI3" s="5" t="s">
        <v>0</v>
      </c>
      <c r="LJ3" s="5" t="s">
        <v>1</v>
      </c>
      <c r="LK3" s="5" t="s">
        <v>2</v>
      </c>
      <c r="LL3" s="5" t="s">
        <v>3</v>
      </c>
      <c r="LM3" s="5" t="s">
        <v>4</v>
      </c>
      <c r="LN3" s="5" t="s">
        <v>5</v>
      </c>
      <c r="LO3" s="5" t="s">
        <v>6</v>
      </c>
      <c r="LP3" s="5" t="s">
        <v>0</v>
      </c>
      <c r="LQ3" s="5" t="s">
        <v>1</v>
      </c>
      <c r="LR3" s="5" t="s">
        <v>2</v>
      </c>
      <c r="LS3" s="5" t="s">
        <v>3</v>
      </c>
      <c r="LT3" s="5" t="s">
        <v>4</v>
      </c>
      <c r="LU3" s="5" t="s">
        <v>5</v>
      </c>
      <c r="LV3" s="5" t="s">
        <v>6</v>
      </c>
      <c r="LW3" s="5" t="s">
        <v>0</v>
      </c>
      <c r="LX3" s="5" t="s">
        <v>1</v>
      </c>
      <c r="LY3" s="5" t="s">
        <v>2</v>
      </c>
      <c r="LZ3" s="5" t="s">
        <v>3</v>
      </c>
      <c r="MA3" s="5" t="s">
        <v>4</v>
      </c>
      <c r="MB3" s="5" t="s">
        <v>5</v>
      </c>
      <c r="MC3" s="5" t="s">
        <v>6</v>
      </c>
      <c r="MD3" s="5" t="s">
        <v>0</v>
      </c>
      <c r="ME3" s="5" t="s">
        <v>1</v>
      </c>
      <c r="MF3" s="5" t="s">
        <v>2</v>
      </c>
      <c r="MG3" s="5" t="s">
        <v>3</v>
      </c>
      <c r="MH3" s="5" t="s">
        <v>4</v>
      </c>
      <c r="MI3" s="5" t="s">
        <v>5</v>
      </c>
      <c r="MJ3" s="5" t="s">
        <v>6</v>
      </c>
      <c r="MK3" s="5" t="s">
        <v>0</v>
      </c>
      <c r="ML3" s="5" t="s">
        <v>1</v>
      </c>
      <c r="MM3" s="5" t="s">
        <v>2</v>
      </c>
      <c r="MN3" s="5" t="s">
        <v>3</v>
      </c>
      <c r="MO3" s="5" t="s">
        <v>4</v>
      </c>
      <c r="MP3" s="5" t="s">
        <v>5</v>
      </c>
      <c r="MQ3" s="5" t="s">
        <v>6</v>
      </c>
      <c r="MR3" s="5" t="s">
        <v>0</v>
      </c>
      <c r="MS3" s="5" t="s">
        <v>1</v>
      </c>
      <c r="MT3" s="5" t="s">
        <v>2</v>
      </c>
      <c r="MU3" s="5" t="s">
        <v>3</v>
      </c>
      <c r="MV3" s="5" t="s">
        <v>4</v>
      </c>
      <c r="MW3" s="5" t="s">
        <v>5</v>
      </c>
      <c r="MX3" s="5" t="s">
        <v>6</v>
      </c>
      <c r="MY3" s="5" t="s">
        <v>0</v>
      </c>
      <c r="MZ3" s="5" t="s">
        <v>1</v>
      </c>
      <c r="NA3" s="5" t="s">
        <v>2</v>
      </c>
      <c r="NB3" s="5" t="s">
        <v>3</v>
      </c>
      <c r="NC3" s="5" t="s">
        <v>4</v>
      </c>
      <c r="ND3" s="5" t="s">
        <v>5</v>
      </c>
      <c r="NE3" s="5" t="s">
        <v>6</v>
      </c>
      <c r="NF3" s="5" t="s">
        <v>0</v>
      </c>
      <c r="NG3" s="5" t="s">
        <v>1</v>
      </c>
      <c r="NH3" s="5" t="s">
        <v>2</v>
      </c>
      <c r="NI3" s="5" t="s">
        <v>3</v>
      </c>
      <c r="NJ3" s="5" t="s">
        <v>4</v>
      </c>
      <c r="NK3" s="5" t="s">
        <v>5</v>
      </c>
      <c r="NL3" s="5" t="s">
        <v>6</v>
      </c>
      <c r="NM3" s="5" t="s">
        <v>0</v>
      </c>
      <c r="NN3" s="5" t="s">
        <v>1</v>
      </c>
      <c r="NO3" s="5" t="s">
        <v>2</v>
      </c>
      <c r="NP3" s="5" t="s">
        <v>3</v>
      </c>
      <c r="NQ3" s="5" t="s">
        <v>4</v>
      </c>
      <c r="NR3" s="5" t="s">
        <v>5</v>
      </c>
      <c r="NS3" s="5" t="s">
        <v>6</v>
      </c>
      <c r="NT3" s="5" t="s">
        <v>0</v>
      </c>
      <c r="NU3" s="5" t="s">
        <v>1</v>
      </c>
      <c r="NV3" s="5" t="s">
        <v>2</v>
      </c>
      <c r="NW3" s="5" t="s">
        <v>3</v>
      </c>
      <c r="NX3" s="5" t="s">
        <v>4</v>
      </c>
      <c r="NY3" s="5" t="s">
        <v>5</v>
      </c>
      <c r="NZ3" s="5" t="s">
        <v>6</v>
      </c>
      <c r="OA3" s="5" t="s">
        <v>0</v>
      </c>
      <c r="OB3" s="5" t="s">
        <v>1</v>
      </c>
      <c r="OC3" s="5" t="s">
        <v>2</v>
      </c>
      <c r="OD3" s="5" t="s">
        <v>3</v>
      </c>
      <c r="OE3" s="5" t="s">
        <v>4</v>
      </c>
      <c r="OF3" s="5" t="s">
        <v>5</v>
      </c>
      <c r="OG3" s="5" t="s">
        <v>6</v>
      </c>
      <c r="OH3" s="5" t="s">
        <v>0</v>
      </c>
      <c r="OI3" s="5" t="s">
        <v>1</v>
      </c>
      <c r="OJ3" s="5" t="s">
        <v>2</v>
      </c>
      <c r="OK3" s="5" t="s">
        <v>3</v>
      </c>
      <c r="OL3" s="5" t="s">
        <v>4</v>
      </c>
      <c r="OM3" s="5" t="s">
        <v>5</v>
      </c>
      <c r="ON3" s="5" t="s">
        <v>6</v>
      </c>
      <c r="OO3" s="5" t="s">
        <v>0</v>
      </c>
      <c r="OP3" s="5" t="s">
        <v>1</v>
      </c>
      <c r="OQ3" s="5" t="s">
        <v>2</v>
      </c>
      <c r="OR3" s="5" t="s">
        <v>3</v>
      </c>
      <c r="OS3" s="5" t="s">
        <v>4</v>
      </c>
      <c r="OT3" s="5" t="s">
        <v>5</v>
      </c>
      <c r="OU3" s="5" t="s">
        <v>6</v>
      </c>
      <c r="OV3" s="5" t="s">
        <v>0</v>
      </c>
      <c r="OW3" s="5" t="s">
        <v>1</v>
      </c>
      <c r="OX3" s="5" t="s">
        <v>2</v>
      </c>
      <c r="OY3" s="93"/>
      <c r="OZ3" s="94"/>
      <c r="PA3" s="94"/>
      <c r="PB3" s="18" t="s">
        <v>15</v>
      </c>
      <c r="PC3" s="10">
        <f>($PC$1+(40/24))</f>
        <v>46120.666666666664</v>
      </c>
    </row>
    <row r="4" spans="1:419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13">
        <v>0</v>
      </c>
      <c r="JW4" s="13">
        <v>0</v>
      </c>
      <c r="JX4" s="13">
        <v>6.5</v>
      </c>
      <c r="JY4" s="13">
        <v>6.75</v>
      </c>
      <c r="JZ4" s="13">
        <v>4.25</v>
      </c>
      <c r="KA4" s="13">
        <v>10</v>
      </c>
      <c r="KB4" s="13">
        <v>2</v>
      </c>
      <c r="KC4" s="13">
        <v>3.75</v>
      </c>
      <c r="KD4" s="13">
        <v>2.25</v>
      </c>
      <c r="KE4" s="13">
        <v>10.75</v>
      </c>
      <c r="KF4" s="13">
        <v>0</v>
      </c>
      <c r="KG4" s="13">
        <v>5.5</v>
      </c>
      <c r="KH4" s="13">
        <v>4.5</v>
      </c>
      <c r="KI4" s="13">
        <v>2.5</v>
      </c>
      <c r="KJ4" s="13">
        <v>4</v>
      </c>
      <c r="KK4" s="13">
        <v>2</v>
      </c>
      <c r="KL4" s="13">
        <v>7.5</v>
      </c>
      <c r="KM4" s="13">
        <v>0</v>
      </c>
      <c r="KN4" s="13">
        <v>8.5</v>
      </c>
      <c r="KO4" s="13">
        <v>3.75</v>
      </c>
      <c r="KP4" s="13">
        <v>6</v>
      </c>
      <c r="KQ4" s="13">
        <v>1.5</v>
      </c>
      <c r="KR4" s="13">
        <v>4.75</v>
      </c>
      <c r="KS4" s="13">
        <v>1.25</v>
      </c>
      <c r="KT4" s="13">
        <v>10</v>
      </c>
      <c r="KU4" s="13">
        <v>0</v>
      </c>
      <c r="KV4" s="13">
        <v>0</v>
      </c>
      <c r="KW4" s="13">
        <v>6.75</v>
      </c>
      <c r="KX4" s="13">
        <v>0</v>
      </c>
      <c r="KY4" s="13">
        <v>2.5</v>
      </c>
      <c r="KZ4" s="13">
        <v>2.25</v>
      </c>
      <c r="LA4" s="13">
        <v>3</v>
      </c>
      <c r="LB4" s="13">
        <v>7</v>
      </c>
      <c r="LC4" s="13">
        <v>4</v>
      </c>
      <c r="LD4" s="13">
        <v>7.25</v>
      </c>
      <c r="LE4" s="13">
        <v>0</v>
      </c>
      <c r="LF4" s="13">
        <v>7.75</v>
      </c>
      <c r="LG4" s="13">
        <v>0</v>
      </c>
      <c r="LH4" s="13">
        <v>0</v>
      </c>
      <c r="LI4" s="13">
        <v>2</v>
      </c>
      <c r="LJ4" s="13">
        <v>0</v>
      </c>
      <c r="LK4" s="13">
        <v>4.25</v>
      </c>
      <c r="LL4" s="13">
        <v>11.75</v>
      </c>
      <c r="LM4" s="13">
        <v>5.5</v>
      </c>
      <c r="LN4" s="13">
        <v>6.75</v>
      </c>
      <c r="LO4" s="13">
        <v>4.25</v>
      </c>
      <c r="LP4" s="13">
        <v>4</v>
      </c>
      <c r="LQ4" s="13">
        <v>2.25</v>
      </c>
      <c r="LR4" s="13">
        <v>6</v>
      </c>
      <c r="LS4" s="13">
        <v>9</v>
      </c>
      <c r="LT4" s="13">
        <v>2.5</v>
      </c>
      <c r="LU4" s="13">
        <v>4.75</v>
      </c>
      <c r="LV4" s="13">
        <v>6.75</v>
      </c>
      <c r="LW4" s="13">
        <v>2.25</v>
      </c>
      <c r="LX4" s="13">
        <v>5.75</v>
      </c>
      <c r="LY4" s="13">
        <v>8</v>
      </c>
      <c r="LZ4" s="13">
        <v>8</v>
      </c>
      <c r="MA4" s="13">
        <v>8.25</v>
      </c>
      <c r="MB4" s="13">
        <v>11.25</v>
      </c>
      <c r="MC4" s="13">
        <v>8.25</v>
      </c>
      <c r="MD4" s="13">
        <v>8.25</v>
      </c>
      <c r="ME4" s="13">
        <v>4</v>
      </c>
      <c r="MF4" s="13">
        <v>6.25</v>
      </c>
      <c r="MG4" s="13">
        <v>5.25</v>
      </c>
      <c r="MH4" s="13">
        <v>5.25</v>
      </c>
      <c r="MI4" s="13">
        <v>5.75</v>
      </c>
      <c r="MJ4" s="13">
        <v>5.75</v>
      </c>
      <c r="MK4" s="13">
        <v>13.25</v>
      </c>
      <c r="ML4" s="13">
        <v>4.25</v>
      </c>
      <c r="MM4" s="13">
        <v>7.75</v>
      </c>
      <c r="MN4" s="13">
        <v>6.75</v>
      </c>
      <c r="MO4" s="13">
        <v>5.75</v>
      </c>
      <c r="MP4" s="13">
        <v>2.25</v>
      </c>
      <c r="MQ4" s="13">
        <v>7.5</v>
      </c>
      <c r="MR4" s="13">
        <v>9</v>
      </c>
      <c r="MS4" s="13">
        <v>5.5</v>
      </c>
      <c r="MT4" s="13">
        <v>4.25</v>
      </c>
      <c r="MU4" s="13">
        <v>7.75</v>
      </c>
      <c r="MV4" s="13">
        <v>3</v>
      </c>
      <c r="MW4" s="13">
        <v>5.5</v>
      </c>
      <c r="MX4" s="13">
        <v>6.25</v>
      </c>
      <c r="MY4" s="13">
        <v>8</v>
      </c>
      <c r="MZ4" s="13">
        <v>2.25</v>
      </c>
      <c r="NA4" s="13">
        <v>4.5</v>
      </c>
      <c r="NB4" s="13">
        <v>6.75</v>
      </c>
      <c r="NC4" s="13">
        <v>0</v>
      </c>
      <c r="ND4" s="13">
        <v>3</v>
      </c>
      <c r="NE4" s="13">
        <v>0</v>
      </c>
      <c r="NF4" s="13">
        <v>4</v>
      </c>
      <c r="NG4" s="13">
        <v>1</v>
      </c>
      <c r="NH4" s="13">
        <v>0.75</v>
      </c>
      <c r="NI4" s="13">
        <v>11.25</v>
      </c>
      <c r="NJ4" s="13">
        <v>1</v>
      </c>
      <c r="NK4" s="13">
        <v>13.75</v>
      </c>
      <c r="NL4" s="13">
        <v>1.25</v>
      </c>
      <c r="NM4" s="13">
        <v>9.75</v>
      </c>
      <c r="NN4" s="13">
        <v>2.25</v>
      </c>
      <c r="NO4" s="13">
        <v>10</v>
      </c>
      <c r="NP4" s="13">
        <v>7.25</v>
      </c>
      <c r="NQ4" s="13">
        <v>14.25</v>
      </c>
      <c r="NR4" s="13">
        <v>7.75</v>
      </c>
      <c r="NS4" s="13">
        <v>13.75</v>
      </c>
      <c r="NT4" s="13">
        <v>1.75</v>
      </c>
      <c r="NU4" s="13">
        <v>10.75</v>
      </c>
      <c r="NV4" s="13">
        <v>9</v>
      </c>
      <c r="NW4" s="13">
        <v>16.5</v>
      </c>
      <c r="NX4" s="13">
        <v>4.5</v>
      </c>
      <c r="NY4" s="13">
        <v>16.25</v>
      </c>
      <c r="NZ4" s="13">
        <v>9.25</v>
      </c>
      <c r="OA4" s="13">
        <v>7.75</v>
      </c>
      <c r="OB4" s="13">
        <v>11</v>
      </c>
      <c r="OC4" s="13">
        <v>12.75</v>
      </c>
      <c r="OD4" s="13">
        <v>5</v>
      </c>
      <c r="OE4" s="13">
        <v>15.5</v>
      </c>
      <c r="OF4" s="13">
        <v>10.75</v>
      </c>
      <c r="OG4" s="13">
        <v>12</v>
      </c>
      <c r="OH4" s="13">
        <v>7</v>
      </c>
      <c r="OI4" s="13">
        <v>9.25</v>
      </c>
      <c r="OJ4" s="13">
        <v>7.25</v>
      </c>
      <c r="OK4" s="13">
        <v>2.75</v>
      </c>
      <c r="OL4" s="13">
        <v>11.5</v>
      </c>
      <c r="OM4" s="13">
        <v>12</v>
      </c>
      <c r="ON4" s="13">
        <v>6.75</v>
      </c>
      <c r="OO4" s="13">
        <v>8.75</v>
      </c>
      <c r="OP4" s="13">
        <v>12.25</v>
      </c>
      <c r="OQ4" s="13">
        <v>7.75</v>
      </c>
      <c r="OR4" s="13">
        <v>13.5</v>
      </c>
      <c r="OS4" s="13">
        <v>6.5</v>
      </c>
      <c r="OT4" s="13">
        <v>5.5</v>
      </c>
      <c r="OU4" s="13">
        <v>8.5</v>
      </c>
      <c r="OV4" s="13">
        <v>17.5</v>
      </c>
      <c r="OW4" s="13">
        <v>9.25</v>
      </c>
      <c r="OX4" s="13">
        <v>13.25</v>
      </c>
      <c r="OY4" s="93"/>
      <c r="OZ4" s="94"/>
      <c r="PA4" s="94"/>
      <c r="PB4" s="18" t="s">
        <v>29</v>
      </c>
      <c r="PC4" s="11">
        <f>($PC$1+(68/24))</f>
        <v>46121.833333333336</v>
      </c>
    </row>
    <row r="5" spans="1:419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14">
        <f t="shared" ref="JV5:KD5" si="67">(JV4-8)</f>
        <v>-8</v>
      </c>
      <c r="JW5" s="14">
        <f t="shared" si="67"/>
        <v>-8</v>
      </c>
      <c r="JX5" s="14">
        <f t="shared" si="67"/>
        <v>-1.5</v>
      </c>
      <c r="JY5" s="14">
        <f t="shared" si="67"/>
        <v>-1.25</v>
      </c>
      <c r="JZ5" s="14">
        <f t="shared" si="67"/>
        <v>-3.75</v>
      </c>
      <c r="KA5" s="14">
        <f t="shared" si="67"/>
        <v>2</v>
      </c>
      <c r="KB5" s="14">
        <f t="shared" si="67"/>
        <v>-6</v>
      </c>
      <c r="KC5" s="14">
        <f t="shared" si="67"/>
        <v>-4.25</v>
      </c>
      <c r="KD5" s="14">
        <f t="shared" si="67"/>
        <v>-5.75</v>
      </c>
      <c r="KE5" s="14">
        <f t="shared" ref="KE5:KG5" si="68">(KE4-8)</f>
        <v>2.75</v>
      </c>
      <c r="KF5" s="14">
        <f t="shared" si="68"/>
        <v>-8</v>
      </c>
      <c r="KG5" s="14">
        <f t="shared" si="68"/>
        <v>-2.5</v>
      </c>
      <c r="KH5" s="14">
        <f t="shared" ref="KH5:KM5" si="69">(KH4-8)</f>
        <v>-3.5</v>
      </c>
      <c r="KI5" s="14">
        <f t="shared" si="69"/>
        <v>-5.5</v>
      </c>
      <c r="KJ5" s="14">
        <f t="shared" si="69"/>
        <v>-4</v>
      </c>
      <c r="KK5" s="14">
        <f t="shared" si="69"/>
        <v>-6</v>
      </c>
      <c r="KL5" s="14">
        <f t="shared" si="69"/>
        <v>-0.5</v>
      </c>
      <c r="KM5" s="14">
        <f t="shared" si="69"/>
        <v>-8</v>
      </c>
      <c r="KN5" s="14">
        <f t="shared" ref="KN5:KS5" si="70">(KN4-8)</f>
        <v>0.5</v>
      </c>
      <c r="KO5" s="14">
        <f t="shared" si="70"/>
        <v>-4.25</v>
      </c>
      <c r="KP5" s="14">
        <f t="shared" si="70"/>
        <v>-2</v>
      </c>
      <c r="KQ5" s="14">
        <f t="shared" si="70"/>
        <v>-6.5</v>
      </c>
      <c r="KR5" s="14">
        <f t="shared" si="70"/>
        <v>-3.25</v>
      </c>
      <c r="KS5" s="14">
        <f t="shared" si="70"/>
        <v>-6.75</v>
      </c>
      <c r="KT5" s="14">
        <f t="shared" ref="KT5:KV5" si="71">(KT4-8)</f>
        <v>2</v>
      </c>
      <c r="KU5" s="14">
        <f t="shared" si="71"/>
        <v>-8</v>
      </c>
      <c r="KV5" s="14">
        <f t="shared" si="71"/>
        <v>-8</v>
      </c>
      <c r="KW5" s="14">
        <f t="shared" ref="KW5:LB5" si="72">(KW4-8)</f>
        <v>-1.25</v>
      </c>
      <c r="KX5" s="14">
        <f t="shared" si="72"/>
        <v>-8</v>
      </c>
      <c r="KY5" s="14">
        <f t="shared" si="72"/>
        <v>-5.5</v>
      </c>
      <c r="KZ5" s="14">
        <f t="shared" si="72"/>
        <v>-5.75</v>
      </c>
      <c r="LA5" s="14">
        <f t="shared" si="72"/>
        <v>-5</v>
      </c>
      <c r="LB5" s="14">
        <f t="shared" si="72"/>
        <v>-1</v>
      </c>
      <c r="LC5" s="14">
        <f t="shared" ref="LC5:LE5" si="73">(LC4-8)</f>
        <v>-4</v>
      </c>
      <c r="LD5" s="14">
        <f t="shared" si="73"/>
        <v>-0.75</v>
      </c>
      <c r="LE5" s="14">
        <f t="shared" si="73"/>
        <v>-8</v>
      </c>
      <c r="LF5" s="14">
        <f t="shared" ref="LF5:LH5" si="74">(LF4-8)</f>
        <v>-0.25</v>
      </c>
      <c r="LG5" s="14">
        <f t="shared" si="74"/>
        <v>-8</v>
      </c>
      <c r="LH5" s="14">
        <f t="shared" si="74"/>
        <v>-8</v>
      </c>
      <c r="LI5" s="14">
        <f t="shared" ref="LI5:LN5" si="75">(LI4-8)</f>
        <v>-6</v>
      </c>
      <c r="LJ5" s="14">
        <f t="shared" si="75"/>
        <v>-8</v>
      </c>
      <c r="LK5" s="14">
        <f t="shared" si="75"/>
        <v>-3.75</v>
      </c>
      <c r="LL5" s="14">
        <f t="shared" si="75"/>
        <v>3.75</v>
      </c>
      <c r="LM5" s="14">
        <f t="shared" si="75"/>
        <v>-2.5</v>
      </c>
      <c r="LN5" s="14">
        <f t="shared" si="75"/>
        <v>-1.25</v>
      </c>
      <c r="LO5" s="14">
        <f t="shared" ref="LO5:LQ5" si="76">(LO4-8)</f>
        <v>-3.75</v>
      </c>
      <c r="LP5" s="14">
        <f t="shared" si="76"/>
        <v>-4</v>
      </c>
      <c r="LQ5" s="14">
        <f t="shared" si="76"/>
        <v>-5.75</v>
      </c>
      <c r="LR5" s="14">
        <f t="shared" ref="LR5:LW5" si="77">(LR4-8)</f>
        <v>-2</v>
      </c>
      <c r="LS5" s="14">
        <f t="shared" si="77"/>
        <v>1</v>
      </c>
      <c r="LT5" s="14">
        <f t="shared" si="77"/>
        <v>-5.5</v>
      </c>
      <c r="LU5" s="14">
        <f t="shared" si="77"/>
        <v>-3.25</v>
      </c>
      <c r="LV5" s="14">
        <f t="shared" si="77"/>
        <v>-1.25</v>
      </c>
      <c r="LW5" s="14">
        <f t="shared" si="77"/>
        <v>-5.75</v>
      </c>
      <c r="LX5" s="14">
        <f t="shared" ref="LX5:MC5" si="78">(LX4-8)</f>
        <v>-2.25</v>
      </c>
      <c r="LY5" s="14">
        <f t="shared" si="78"/>
        <v>0</v>
      </c>
      <c r="LZ5" s="14">
        <f t="shared" si="78"/>
        <v>0</v>
      </c>
      <c r="MA5" s="14">
        <f t="shared" si="78"/>
        <v>0.25</v>
      </c>
      <c r="MB5" s="14">
        <f t="shared" si="78"/>
        <v>3.25</v>
      </c>
      <c r="MC5" s="14">
        <f t="shared" si="78"/>
        <v>0.25</v>
      </c>
      <c r="MD5" s="14">
        <f t="shared" ref="MD5:MF5" si="79">(MD4-8)</f>
        <v>0.25</v>
      </c>
      <c r="ME5" s="14">
        <f t="shared" si="79"/>
        <v>-4</v>
      </c>
      <c r="MF5" s="14">
        <f t="shared" si="79"/>
        <v>-1.75</v>
      </c>
      <c r="MG5" s="14">
        <f t="shared" ref="MG5:MI5" si="80">(MG4-8)</f>
        <v>-2.75</v>
      </c>
      <c r="MH5" s="14">
        <f t="shared" si="80"/>
        <v>-2.75</v>
      </c>
      <c r="MI5" s="14">
        <f t="shared" si="80"/>
        <v>-2.25</v>
      </c>
      <c r="MJ5" s="14">
        <f t="shared" ref="MJ5:ML5" si="81">(MJ4-8)</f>
        <v>-2.25</v>
      </c>
      <c r="MK5" s="14">
        <f t="shared" si="81"/>
        <v>5.25</v>
      </c>
      <c r="ML5" s="14">
        <f t="shared" si="81"/>
        <v>-3.75</v>
      </c>
      <c r="MM5" s="14">
        <f t="shared" ref="MM5:MO5" si="82">(MM4-8)</f>
        <v>-0.25</v>
      </c>
      <c r="MN5" s="14">
        <f t="shared" si="82"/>
        <v>-1.25</v>
      </c>
      <c r="MO5" s="14">
        <f t="shared" si="82"/>
        <v>-2.25</v>
      </c>
      <c r="MP5" s="14">
        <f t="shared" ref="MP5:MR5" si="83">(MP4-8)</f>
        <v>-5.75</v>
      </c>
      <c r="MQ5" s="14">
        <f t="shared" si="83"/>
        <v>-0.5</v>
      </c>
      <c r="MR5" s="14">
        <f t="shared" si="83"/>
        <v>1</v>
      </c>
      <c r="MS5" s="14">
        <f t="shared" ref="MS5:MU5" si="84">(MS4-8)</f>
        <v>-2.5</v>
      </c>
      <c r="MT5" s="14">
        <f t="shared" si="84"/>
        <v>-3.75</v>
      </c>
      <c r="MU5" s="14">
        <f t="shared" si="84"/>
        <v>-0.25</v>
      </c>
      <c r="MV5" s="14">
        <f t="shared" ref="MV5:MW5" si="85">(MV4-8)</f>
        <v>-5</v>
      </c>
      <c r="MW5" s="14">
        <f t="shared" si="85"/>
        <v>-2.5</v>
      </c>
      <c r="MX5" s="14">
        <f t="shared" ref="MX5:NC5" si="86">(MX4-8)</f>
        <v>-1.75</v>
      </c>
      <c r="MY5" s="14">
        <f t="shared" si="86"/>
        <v>0</v>
      </c>
      <c r="MZ5" s="14">
        <f t="shared" si="86"/>
        <v>-5.75</v>
      </c>
      <c r="NA5" s="14">
        <f t="shared" si="86"/>
        <v>-3.5</v>
      </c>
      <c r="NB5" s="14">
        <f t="shared" si="86"/>
        <v>-1.25</v>
      </c>
      <c r="NC5" s="14">
        <f t="shared" si="86"/>
        <v>-8</v>
      </c>
      <c r="ND5" s="14">
        <f t="shared" ref="ND5:NI5" si="87">(ND4-8)</f>
        <v>-5</v>
      </c>
      <c r="NE5" s="14">
        <f t="shared" si="87"/>
        <v>-8</v>
      </c>
      <c r="NF5" s="14">
        <f t="shared" si="87"/>
        <v>-4</v>
      </c>
      <c r="NG5" s="14">
        <f t="shared" si="87"/>
        <v>-7</v>
      </c>
      <c r="NH5" s="14">
        <f t="shared" si="87"/>
        <v>-7.25</v>
      </c>
      <c r="NI5" s="14">
        <f t="shared" si="87"/>
        <v>3.25</v>
      </c>
      <c r="NJ5" s="14">
        <f t="shared" ref="NJ5:NL5" si="88">(NJ4-8)</f>
        <v>-7</v>
      </c>
      <c r="NK5" s="14">
        <f t="shared" si="88"/>
        <v>5.75</v>
      </c>
      <c r="NL5" s="14">
        <f t="shared" si="88"/>
        <v>-6.75</v>
      </c>
      <c r="NM5" s="14">
        <f t="shared" ref="NM5:NR5" si="89">(NM4-8)</f>
        <v>1.75</v>
      </c>
      <c r="NN5" s="14">
        <f t="shared" si="89"/>
        <v>-5.75</v>
      </c>
      <c r="NO5" s="14">
        <f t="shared" si="89"/>
        <v>2</v>
      </c>
      <c r="NP5" s="14">
        <f t="shared" si="89"/>
        <v>-0.75</v>
      </c>
      <c r="NQ5" s="14">
        <f t="shared" si="89"/>
        <v>6.25</v>
      </c>
      <c r="NR5" s="14">
        <f t="shared" si="89"/>
        <v>-0.25</v>
      </c>
      <c r="NS5" s="14">
        <f t="shared" ref="NS5:NU5" si="90">(NS4-8)</f>
        <v>5.75</v>
      </c>
      <c r="NT5" s="14">
        <f t="shared" si="90"/>
        <v>-6.25</v>
      </c>
      <c r="NU5" s="14">
        <f t="shared" si="90"/>
        <v>2.75</v>
      </c>
      <c r="NV5" s="14">
        <f t="shared" ref="NV5:NX5" si="91">(NV4-8)</f>
        <v>1</v>
      </c>
      <c r="NW5" s="14">
        <f t="shared" si="91"/>
        <v>8.5</v>
      </c>
      <c r="NX5" s="14">
        <f t="shared" si="91"/>
        <v>-3.5</v>
      </c>
      <c r="NY5" s="14">
        <f t="shared" ref="NY5:OA5" si="92">(NY4-8)</f>
        <v>8.25</v>
      </c>
      <c r="NZ5" s="14">
        <f t="shared" si="92"/>
        <v>1.25</v>
      </c>
      <c r="OA5" s="14">
        <f t="shared" si="92"/>
        <v>-0.25</v>
      </c>
      <c r="OB5" s="14">
        <f t="shared" ref="OB5:OD5" si="93">(OB4-8)</f>
        <v>3</v>
      </c>
      <c r="OC5" s="14">
        <f t="shared" si="93"/>
        <v>4.75</v>
      </c>
      <c r="OD5" s="14">
        <f t="shared" si="93"/>
        <v>-3</v>
      </c>
      <c r="OE5" s="14">
        <f t="shared" ref="OE5:OG5" si="94">(OE4-8)</f>
        <v>7.5</v>
      </c>
      <c r="OF5" s="14">
        <f t="shared" si="94"/>
        <v>2.75</v>
      </c>
      <c r="OG5" s="14">
        <f t="shared" si="94"/>
        <v>4</v>
      </c>
      <c r="OH5" s="14">
        <f t="shared" ref="OH5:OJ5" si="95">(OH4-8)</f>
        <v>-1</v>
      </c>
      <c r="OI5" s="14">
        <f t="shared" si="95"/>
        <v>1.25</v>
      </c>
      <c r="OJ5" s="14">
        <f t="shared" si="95"/>
        <v>-0.75</v>
      </c>
      <c r="OK5" s="14">
        <f t="shared" ref="OK5:OM5" si="96">(OK4-8)</f>
        <v>-5.25</v>
      </c>
      <c r="OL5" s="14">
        <f t="shared" si="96"/>
        <v>3.5</v>
      </c>
      <c r="OM5" s="14">
        <f t="shared" si="96"/>
        <v>4</v>
      </c>
      <c r="ON5" s="14">
        <f t="shared" ref="ON5:OP5" si="97">(ON4-8)</f>
        <v>-1.25</v>
      </c>
      <c r="OO5" s="14">
        <f t="shared" si="97"/>
        <v>0.75</v>
      </c>
      <c r="OP5" s="14">
        <f t="shared" si="97"/>
        <v>4.25</v>
      </c>
      <c r="OQ5" s="14">
        <f t="shared" ref="OQ5:OS5" si="98">(OQ4-8)</f>
        <v>-0.25</v>
      </c>
      <c r="OR5" s="14">
        <f t="shared" si="98"/>
        <v>5.5</v>
      </c>
      <c r="OS5" s="14">
        <f t="shared" si="98"/>
        <v>-1.5</v>
      </c>
      <c r="OT5" s="14">
        <f t="shared" ref="OT5:OV5" si="99">(OT4-8)</f>
        <v>-2.5</v>
      </c>
      <c r="OU5" s="14">
        <f t="shared" si="99"/>
        <v>0.5</v>
      </c>
      <c r="OV5" s="14">
        <f t="shared" si="99"/>
        <v>9.5</v>
      </c>
      <c r="OW5" s="14">
        <f t="shared" ref="OW5:OX5" si="100">(OW4-8)</f>
        <v>1.25</v>
      </c>
      <c r="OX5" s="14">
        <f t="shared" si="100"/>
        <v>5.25</v>
      </c>
      <c r="OY5" s="93"/>
      <c r="OZ5" s="94"/>
      <c r="PA5" s="94"/>
      <c r="PB5" s="18" t="s">
        <v>16</v>
      </c>
      <c r="PC5" s="12">
        <f>($PC$1+(100/24))</f>
        <v>46123.166666666664</v>
      </c>
    </row>
    <row r="6" spans="1:419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14">
        <f>(SUM($B$4:JV$4)/JV$1)</f>
        <v>5.589857651245552</v>
      </c>
      <c r="JW6" s="14">
        <f>(SUM($B$4:JW$4)/JW$1)</f>
        <v>5.5700354609929077</v>
      </c>
      <c r="JX6" s="14">
        <f>(SUM($B$4:JX$4)/JX$1)</f>
        <v>5.5733215547703177</v>
      </c>
      <c r="JY6" s="14">
        <f>(SUM($B$4:JY$4)/JY$1)</f>
        <v>5.577464788732394</v>
      </c>
      <c r="JZ6" s="14">
        <f>(SUM($B$4:JZ$4)/JZ$1)</f>
        <v>5.5728070175438598</v>
      </c>
      <c r="KA6" s="14">
        <f>(SUM($B$4:KA$4)/KA$1)</f>
        <v>5.5882867132867133</v>
      </c>
      <c r="KB6" s="14">
        <f>(SUM($B$4:KB$4)/KB$1)</f>
        <v>5.5757839721254356</v>
      </c>
      <c r="KC6" s="14">
        <f>(SUM($B$4:KC$4)/KC$1)</f>
        <v>5.5694444444444446</v>
      </c>
      <c r="KD6" s="14">
        <f>(SUM($B$4:KD$4)/KD$1)</f>
        <v>5.5579584775086506</v>
      </c>
      <c r="KE6" s="14">
        <f>(SUM($B$4:KE$4)/KE$1)</f>
        <v>5.5758620689655176</v>
      </c>
      <c r="KF6" s="14">
        <f>(SUM($B$4:KF$4)/KF$1)</f>
        <v>5.5567010309278349</v>
      </c>
      <c r="KG6" s="14">
        <f>(SUM($B$4:KG$4)/KG$1)</f>
        <v>5.5565068493150687</v>
      </c>
      <c r="KH6" s="14">
        <f>(SUM($B$4:KH$4)/KH$1)</f>
        <v>5.5529010238907848</v>
      </c>
      <c r="KI6" s="14">
        <f>(SUM($B$4:KI$4)/KI$1)</f>
        <v>5.5425170068027212</v>
      </c>
      <c r="KJ6" s="14">
        <f>(SUM($B$4:KJ$4)/KJ$1)</f>
        <v>5.5372881355932204</v>
      </c>
      <c r="KK6" s="14">
        <f>(SUM($B$4:KK$4)/KK$1)</f>
        <v>5.5253378378378377</v>
      </c>
      <c r="KL6" s="14">
        <f>(SUM($B$4:KL$4)/KL$1)</f>
        <v>5.531986531986532</v>
      </c>
      <c r="KM6" s="14">
        <f>(SUM($B$4:KM$4)/KM$1)</f>
        <v>5.5134228187919465</v>
      </c>
      <c r="KN6" s="14">
        <f>(SUM($B$4:KN$4)/KN$1)</f>
        <v>5.523411371237458</v>
      </c>
      <c r="KO6" s="14">
        <f>(SUM($B$4:KO$4)/KO$1)</f>
        <v>5.5175000000000001</v>
      </c>
      <c r="KP6" s="14">
        <f>(SUM($B$4:KP$4)/KP$1)</f>
        <v>5.5191029900332227</v>
      </c>
      <c r="KQ6" s="14">
        <f>(SUM($B$4:KQ$4)/KQ$1)</f>
        <v>5.5057947019867548</v>
      </c>
      <c r="KR6" s="14">
        <f>(SUM($B$4:KR$4)/KR$1)</f>
        <v>5.503300330033003</v>
      </c>
      <c r="KS6" s="14">
        <f>(SUM($B$4:KS$4)/KS$1)</f>
        <v>5.4893092105263159</v>
      </c>
      <c r="KT6" s="14">
        <f>(SUM($B$4:KT$4)/KT$1)</f>
        <v>5.5040983606557381</v>
      </c>
      <c r="KU6" s="14">
        <f>(SUM($B$4:KU$4)/KU$1)</f>
        <v>5.4861111111111107</v>
      </c>
      <c r="KV6" s="14">
        <f>(SUM($B$4:KV$4)/KV$1)</f>
        <v>5.4682410423452765</v>
      </c>
      <c r="KW6" s="14">
        <f>(SUM($B$4:KW$4)/KW$1)</f>
        <v>5.4724025974025974</v>
      </c>
      <c r="KX6" s="14">
        <f>(SUM($B$4:KX$4)/KX$1)</f>
        <v>5.4546925566343045</v>
      </c>
      <c r="KY6" s="14">
        <f>(SUM($B$4:KY$4)/KY$1)</f>
        <v>5.4451612903225808</v>
      </c>
      <c r="KZ6" s="14">
        <f>(SUM($B$4:KZ$4)/KZ$1)</f>
        <v>5.434887459807074</v>
      </c>
      <c r="LA6" s="14">
        <f>(SUM($B$4:LA$4)/LA$1)</f>
        <v>5.427083333333333</v>
      </c>
      <c r="LB6" s="14">
        <f>(SUM($B$4:LB$4)/LB$1)</f>
        <v>5.4321086261980831</v>
      </c>
      <c r="LC6" s="14">
        <f>(SUM($B$4:LC$4)/LC$1)</f>
        <v>5.4275477707006372</v>
      </c>
      <c r="LD6" s="14">
        <f>(SUM($B$4:LD$4)/LD$1)</f>
        <v>5.4333333333333336</v>
      </c>
      <c r="LE6" s="14">
        <f>(SUM($B$4:LE$4)/LE$1)</f>
        <v>5.4161392405063289</v>
      </c>
      <c r="LF6" s="14">
        <f>(SUM($B$4:LF$4)/LF$1)</f>
        <v>5.4235015772870661</v>
      </c>
      <c r="LG6" s="14">
        <f>(SUM($B$4:LG$4)/LG$1)</f>
        <v>5.4064465408805029</v>
      </c>
      <c r="LH6" s="14">
        <f>(SUM($B$4:LH$4)/LH$1)</f>
        <v>5.3894984326018811</v>
      </c>
      <c r="LI6" s="14">
        <f>(SUM($B$4:LI$4)/LI$1)</f>
        <v>5.37890625</v>
      </c>
      <c r="LJ6" s="14">
        <f>(SUM($B$4:LJ$4)/LJ$1)</f>
        <v>5.3621495327102799</v>
      </c>
      <c r="LK6" s="14">
        <f>(SUM($B$4:LK$4)/LK$1)</f>
        <v>5.3586956521739131</v>
      </c>
      <c r="LL6" s="14">
        <f>(SUM($B$4:LL$4)/LL$1)</f>
        <v>5.3784829721362231</v>
      </c>
      <c r="LM6" s="14">
        <f>(SUM($B$4:LM$4)/LM$1)</f>
        <v>5.3788580246913584</v>
      </c>
      <c r="LN6" s="14">
        <f>(SUM($B$4:LN$4)/LN$1)</f>
        <v>5.3830769230769233</v>
      </c>
      <c r="LO6" s="14">
        <f>(SUM($B$4:LO$4)/LO$1)</f>
        <v>5.3796012269938647</v>
      </c>
      <c r="LP6" s="14">
        <f>(SUM($B$4:LP$4)/LP$1)</f>
        <v>5.3753822629969417</v>
      </c>
      <c r="LQ6" s="14">
        <f>(SUM($B$4:LQ$4)/LQ$1)</f>
        <v>5.3658536585365857</v>
      </c>
      <c r="LR6" s="14">
        <f>(SUM($B$4:LR$4)/LR$1)</f>
        <v>5.3677811550151979</v>
      </c>
      <c r="LS6" s="14">
        <f>(SUM($B$4:LS$4)/LS$1)</f>
        <v>5.3787878787878789</v>
      </c>
      <c r="LT6" s="14">
        <f>(SUM($B$4:LT$4)/LT$1)</f>
        <v>5.3700906344410875</v>
      </c>
      <c r="LU6" s="14">
        <f>(SUM($B$4:LU$4)/LU$1)</f>
        <v>5.3682228915662646</v>
      </c>
      <c r="LV6" s="14">
        <f>(SUM($B$4:LV$4)/LV$1)</f>
        <v>5.3723723723723724</v>
      </c>
      <c r="LW6" s="14">
        <f>(SUM($B$4:LW$4)/LW$1)</f>
        <v>5.3630239520958085</v>
      </c>
      <c r="LX6" s="14">
        <f>(SUM($B$4:LX$4)/LX$1)</f>
        <v>5.3641791044776124</v>
      </c>
      <c r="LY6" s="14">
        <f>(SUM($B$4:LY$4)/LY$1)</f>
        <v>5.3720238095238093</v>
      </c>
      <c r="LZ6" s="14">
        <f>(SUM($B$4:LZ$4)/LZ$1)</f>
        <v>5.3798219584569731</v>
      </c>
      <c r="MA6" s="14">
        <f>(SUM($B$4:MA$4)/MA$1)</f>
        <v>5.3883136094674553</v>
      </c>
      <c r="MB6" s="14">
        <f>(SUM($B$4:MB$4)/MB$1)</f>
        <v>5.4056047197640114</v>
      </c>
      <c r="MC6" s="14">
        <f>(SUM($B$4:MC$4)/MC$1)</f>
        <v>5.4139705882352942</v>
      </c>
      <c r="MD6" s="14">
        <f>(SUM($B$4:MD$4)/MD$1)</f>
        <v>5.4222873900293251</v>
      </c>
      <c r="ME6" s="14">
        <f>(SUM($B$4:ME$4)/ME$1)</f>
        <v>5.4181286549707606</v>
      </c>
      <c r="MF6" s="14">
        <f>(SUM($B$4:MF$4)/MF$1)</f>
        <v>5.4205539358600587</v>
      </c>
      <c r="MG6" s="14">
        <f>(SUM($B$4:MG$4)/MG$1)</f>
        <v>5.4200581395348841</v>
      </c>
      <c r="MH6" s="14">
        <f>(SUM($B$4:MH$4)/MH$1)</f>
        <v>5.4195652173913045</v>
      </c>
      <c r="MI6" s="14">
        <f>(SUM($B$4:MI$4)/MI$1)</f>
        <v>5.4205202312138727</v>
      </c>
      <c r="MJ6" s="14">
        <f>(SUM($B$4:MJ$4)/MJ$1)</f>
        <v>5.4214697406340058</v>
      </c>
      <c r="MK6" s="14">
        <f>(SUM($B$4:MK$4)/MK$1)</f>
        <v>5.443965517241379</v>
      </c>
      <c r="ML6" s="14">
        <f>(SUM($B$4:ML$4)/ML$1)</f>
        <v>5.4405444126074496</v>
      </c>
      <c r="MM6" s="14">
        <f>(SUM($B$4:MM$4)/MM$1)</f>
        <v>5.4471428571428575</v>
      </c>
      <c r="MN6" s="14">
        <f>(SUM($B$4:MN$4)/MN$1)</f>
        <v>5.450854700854701</v>
      </c>
      <c r="MO6" s="14">
        <f>(SUM($B$4:MO$4)/MO$1)</f>
        <v>5.4517045454545459</v>
      </c>
      <c r="MP6" s="14">
        <f>(SUM($B$4:MP$4)/MP$1)</f>
        <v>5.4426345609065159</v>
      </c>
      <c r="MQ6" s="14">
        <f>(SUM($B$4:MQ$4)/MQ$1)</f>
        <v>5.4484463276836159</v>
      </c>
      <c r="MR6" s="14">
        <f>(SUM($B$4:MR$4)/MR$1)</f>
        <v>5.4584507042253518</v>
      </c>
      <c r="MS6" s="14">
        <f>(SUM($B$4:MS$4)/MS$1)</f>
        <v>5.4585674157303368</v>
      </c>
      <c r="MT6" s="14">
        <f>(SUM($B$4:MT$4)/MT$1)</f>
        <v>5.4551820728291318</v>
      </c>
      <c r="MU6" s="14">
        <f>(SUM($B$4:MU$4)/MU$1)</f>
        <v>5.4615921787709496</v>
      </c>
      <c r="MV6" s="14">
        <f>(SUM($B$4:MV$4)/MV$1)</f>
        <v>5.4547353760445683</v>
      </c>
      <c r="MW6" s="14">
        <f>(SUM($B$4:MW$4)/MW$1)</f>
        <v>5.4548611111111107</v>
      </c>
      <c r="MX6" s="14">
        <f>(SUM($B$4:MX$4)/MX$1)</f>
        <v>5.4570637119113572</v>
      </c>
      <c r="MY6" s="14">
        <f>(SUM($B$4:MY$4)/MY$1)</f>
        <v>5.4640883977900554</v>
      </c>
      <c r="MZ6" s="14">
        <f>(SUM($B$4:MZ$4)/MZ$1)</f>
        <v>5.4552341597796143</v>
      </c>
      <c r="NA6" s="14">
        <f>(SUM($B$4:NA$4)/NA$1)</f>
        <v>5.4526098901098905</v>
      </c>
      <c r="NB6" s="14">
        <f>(SUM($B$4:NB$4)/NB$1)</f>
        <v>5.456164383561644</v>
      </c>
      <c r="NC6" s="14">
        <f>(SUM($B$4:NC$4)/NC$1)</f>
        <v>5.4412568306010929</v>
      </c>
      <c r="ND6" s="14">
        <f>(SUM($B$4:ND$4)/ND$1)</f>
        <v>5.4346049046321525</v>
      </c>
      <c r="NE6" s="14">
        <f>(SUM($B$4:NE$4)/NE$1)</f>
        <v>5.4198369565217392</v>
      </c>
      <c r="NF6" s="14">
        <f>(SUM($B$4:NF$4)/NF$1)</f>
        <v>5.4159891598915992</v>
      </c>
      <c r="NG6" s="14">
        <f>(SUM($B$4:NG$4)/NG$1)</f>
        <v>5.404054054054054</v>
      </c>
      <c r="NH6" s="14">
        <f>(SUM($B$4:NH$4)/NH$1)</f>
        <v>5.3915094339622645</v>
      </c>
      <c r="NI6" s="14">
        <f>(SUM($B$4:NI$4)/NI$1)</f>
        <v>5.407258064516129</v>
      </c>
      <c r="NJ6" s="14">
        <f>(SUM($B$4:NJ$4)/NJ$1)</f>
        <v>5.3954423592493299</v>
      </c>
      <c r="NK6" s="14">
        <f>(SUM($B$4:NK$4)/NK$1)</f>
        <v>5.4177807486631018</v>
      </c>
      <c r="NL6" s="14">
        <f>(SUM($B$4:NL$4)/NL$1)</f>
        <v>5.4066666666666663</v>
      </c>
      <c r="NM6" s="14">
        <f>(SUM($B$4:NM$4)/NM$1)</f>
        <v>5.4182180851063828</v>
      </c>
      <c r="NN6" s="14">
        <f>(SUM($B$4:NN$4)/NN$1)</f>
        <v>5.409814323607427</v>
      </c>
      <c r="NO6" s="14">
        <f>(SUM($B$4:NO$4)/NO$1)</f>
        <v>5.4219576719576716</v>
      </c>
      <c r="NP6" s="14">
        <f>(SUM($B$4:NP$4)/NP$1)</f>
        <v>5.4267810026385224</v>
      </c>
      <c r="NQ6" s="14">
        <f>(SUM($B$4:NQ$4)/NQ$1)</f>
        <v>5.45</v>
      </c>
      <c r="NR6" s="14">
        <f>(SUM($B$4:NR$4)/NR$1)</f>
        <v>5.4560367454068244</v>
      </c>
      <c r="NS6" s="14">
        <f>(SUM($B$4:NS$4)/NS$1)</f>
        <v>5.4777486910994764</v>
      </c>
      <c r="NT6" s="14">
        <f>(SUM($B$4:NT$4)/NT$1)</f>
        <v>5.4680156657963446</v>
      </c>
      <c r="NU6" s="14">
        <f>(SUM($B$4:NU$4)/NU$1)</f>
        <v>5.481770833333333</v>
      </c>
      <c r="NV6" s="14">
        <f>(SUM($B$4:NV$4)/NV$1)</f>
        <v>5.4909090909090912</v>
      </c>
      <c r="NW6" s="14">
        <f>(SUM($B$4:NW$4)/NW$1)</f>
        <v>5.5194300518134716</v>
      </c>
      <c r="NX6" s="14">
        <f>(SUM($B$4:NX$4)/NX$1)</f>
        <v>5.5167958656330747</v>
      </c>
      <c r="NY6" s="14">
        <f>(SUM($B$4:NY$4)/NY$1)</f>
        <v>5.544458762886598</v>
      </c>
      <c r="NZ6" s="14">
        <f>(SUM($B$4:NZ$4)/NZ$1)</f>
        <v>5.553984575835476</v>
      </c>
      <c r="OA6" s="14">
        <f>(SUM($B$4:OA$4)/OA$1)</f>
        <v>5.5596153846153848</v>
      </c>
      <c r="OB6" s="14">
        <f>(SUM($B$4:OB$4)/OB$1)</f>
        <v>5.5735294117647056</v>
      </c>
      <c r="OC6" s="14">
        <f>(SUM($B$4:OC$4)/OC$1)</f>
        <v>5.591836734693878</v>
      </c>
      <c r="OD6" s="14">
        <f>(SUM($B$4:OD$4)/OD$1)</f>
        <v>5.5903307888040716</v>
      </c>
      <c r="OE6" s="14">
        <f>(SUM($B$4:OE$4)/OE$1)</f>
        <v>5.6154822335025383</v>
      </c>
      <c r="OF6" s="14">
        <f>(SUM($B$4:OF$4)/OF$1)</f>
        <v>5.6284810126582281</v>
      </c>
      <c r="OG6" s="14">
        <f>(SUM($B$4:OG$4)/OG$1)</f>
        <v>5.6445707070707067</v>
      </c>
      <c r="OH6" s="14">
        <f>(SUM($B$4:OH$4)/OH$1)</f>
        <v>5.6479848866498736</v>
      </c>
      <c r="OI6" s="14">
        <f>(SUM($B$4:OI$4)/OI$1)</f>
        <v>5.6570351758793969</v>
      </c>
      <c r="OJ6" s="14">
        <f>(SUM($B$4:OJ$4)/OJ$1)</f>
        <v>5.6610275689223055</v>
      </c>
      <c r="OK6" s="14">
        <f>(SUM($B$4:OK$4)/OK$1)</f>
        <v>5.6537499999999996</v>
      </c>
      <c r="OL6" s="14">
        <f>(SUM($B$4:OL$4)/OL$1)</f>
        <v>5.6683291770573563</v>
      </c>
      <c r="OM6" s="14">
        <f>(SUM($B$4:OM$4)/OM$1)</f>
        <v>5.6840796019900495</v>
      </c>
      <c r="ON6" s="14">
        <f>(SUM($B$4:ON$4)/ON$1)</f>
        <v>5.6867245657568235</v>
      </c>
      <c r="OO6" s="14">
        <f>(SUM($B$4:OO$4)/OO$1)</f>
        <v>5.6943069306930694</v>
      </c>
      <c r="OP6" s="14">
        <f>(SUM($B$4:OP$4)/OP$1)</f>
        <v>5.7104938271604935</v>
      </c>
      <c r="OQ6" s="14">
        <f>(SUM($B$4:OQ$4)/OQ$1)</f>
        <v>5.7155172413793105</v>
      </c>
      <c r="OR6" s="14">
        <f>(SUM($B$4:OR$4)/OR$1)</f>
        <v>5.7346437346437344</v>
      </c>
      <c r="OS6" s="14">
        <f>(SUM($B$4:OS$4)/OS$1)</f>
        <v>5.7365196078431371</v>
      </c>
      <c r="OT6" s="14">
        <f>(SUM($B$4:OT$4)/OT$1)</f>
        <v>5.7359413202933984</v>
      </c>
      <c r="OU6" s="14">
        <f>(SUM($B$4:OU$4)/OU$1)</f>
        <v>5.7426829268292687</v>
      </c>
      <c r="OV6" s="14">
        <f>(SUM($B$4:OV$4)/OV$1)</f>
        <v>5.771289537712895</v>
      </c>
      <c r="OW6" s="14">
        <f>(SUM($B$4:OW$4)/OW$1)</f>
        <v>5.779733009708738</v>
      </c>
      <c r="OX6" s="14">
        <f>(SUM($B$4:OX$4)/OX$1)</f>
        <v>5.7978208232445523</v>
      </c>
      <c r="OY6" s="93"/>
      <c r="OZ6" s="94"/>
      <c r="PA6" s="94"/>
      <c r="PB6" s="18" t="s">
        <v>30</v>
      </c>
      <c r="PC6" s="26">
        <f>($PC$1+(1000/24))</f>
        <v>46160.666666666664</v>
      </c>
    </row>
    <row r="7" spans="1:419" ht="14.4" customHeight="1" x14ac:dyDescent="0.3">
      <c r="A7" s="25" t="s">
        <v>27</v>
      </c>
      <c r="B7" s="30">
        <f>((B$6/8)*100)</f>
        <v>121.875</v>
      </c>
      <c r="C7" s="30">
        <f t="shared" ref="C7:BO7" si="101">((C$6/8)*100)</f>
        <v>104.6875</v>
      </c>
      <c r="D7" s="30">
        <f t="shared" si="101"/>
        <v>100</v>
      </c>
      <c r="E7" s="30">
        <f t="shared" si="101"/>
        <v>99.21875</v>
      </c>
      <c r="F7" s="30">
        <f t="shared" si="101"/>
        <v>88.75</v>
      </c>
      <c r="G7" s="30">
        <f t="shared" si="101"/>
        <v>80.208333333333343</v>
      </c>
      <c r="H7" s="30">
        <f t="shared" si="101"/>
        <v>78.571428571428569</v>
      </c>
      <c r="I7" s="30">
        <f t="shared" si="101"/>
        <v>77.734375</v>
      </c>
      <c r="J7" s="30">
        <f t="shared" si="101"/>
        <v>80.555555555555557</v>
      </c>
      <c r="K7" s="30">
        <f t="shared" si="101"/>
        <v>79.6875</v>
      </c>
      <c r="L7" s="30">
        <f t="shared" si="101"/>
        <v>76.98863636363636</v>
      </c>
      <c r="M7" s="30">
        <f t="shared" si="101"/>
        <v>77.604166666666657</v>
      </c>
      <c r="N7" s="30">
        <f t="shared" si="101"/>
        <v>77.40384615384616</v>
      </c>
      <c r="O7" s="30">
        <f t="shared" si="101"/>
        <v>77.008928571428569</v>
      </c>
      <c r="P7" s="30">
        <f t="shared" si="101"/>
        <v>77.291666666666671</v>
      </c>
      <c r="Q7" s="30">
        <f t="shared" si="101"/>
        <v>77.734375</v>
      </c>
      <c r="R7" s="30">
        <f t="shared" si="101"/>
        <v>77.941176470588232</v>
      </c>
      <c r="S7" s="30">
        <f t="shared" si="101"/>
        <v>78.298611111111114</v>
      </c>
      <c r="T7" s="30">
        <f t="shared" si="101"/>
        <v>76.80921052631578</v>
      </c>
      <c r="U7" s="30">
        <f t="shared" si="101"/>
        <v>76.09375</v>
      </c>
      <c r="V7" s="30">
        <f t="shared" si="101"/>
        <v>77.083333333333343</v>
      </c>
      <c r="W7" s="30">
        <f t="shared" si="101"/>
        <v>77.69886363636364</v>
      </c>
      <c r="X7" s="30">
        <f t="shared" si="101"/>
        <v>76.494565217391312</v>
      </c>
      <c r="Y7" s="30">
        <f t="shared" si="101"/>
        <v>76.432291666666657</v>
      </c>
      <c r="Z7" s="30">
        <f t="shared" si="101"/>
        <v>74.75</v>
      </c>
      <c r="AA7" s="30">
        <f t="shared" si="101"/>
        <v>71.875</v>
      </c>
      <c r="AB7" s="30">
        <f t="shared" si="101"/>
        <v>73.263888888888886</v>
      </c>
      <c r="AC7" s="30">
        <f t="shared" si="101"/>
        <v>71.09375</v>
      </c>
      <c r="AD7" s="30">
        <f t="shared" si="101"/>
        <v>73.060344827586206</v>
      </c>
      <c r="AE7" s="30">
        <f t="shared" si="101"/>
        <v>71.979166666666671</v>
      </c>
      <c r="AF7" s="30">
        <f t="shared" si="101"/>
        <v>72.076612903225808</v>
      </c>
      <c r="AG7" s="30">
        <f t="shared" si="101"/>
        <v>70.99609375</v>
      </c>
      <c r="AH7" s="30">
        <f t="shared" si="101"/>
        <v>69.981060606060609</v>
      </c>
      <c r="AI7" s="30">
        <f t="shared" si="101"/>
        <v>67.922794117647058</v>
      </c>
      <c r="AJ7" s="30">
        <f t="shared" si="101"/>
        <v>65.982142857142861</v>
      </c>
      <c r="AK7" s="30">
        <f t="shared" si="101"/>
        <v>64.149305555555557</v>
      </c>
      <c r="AL7" s="30">
        <f t="shared" si="101"/>
        <v>62.41554054054054</v>
      </c>
      <c r="AM7" s="30">
        <f t="shared" si="101"/>
        <v>60.773026315789465</v>
      </c>
      <c r="AN7" s="30">
        <f t="shared" si="101"/>
        <v>59.214743589743591</v>
      </c>
      <c r="AO7" s="30">
        <f t="shared" si="101"/>
        <v>57.734375000000007</v>
      </c>
      <c r="AP7" s="30">
        <f t="shared" si="101"/>
        <v>57.164634146341463</v>
      </c>
      <c r="AQ7" s="30">
        <f t="shared" si="101"/>
        <v>57.44047619047619</v>
      </c>
      <c r="AR7" s="30">
        <f t="shared" si="101"/>
        <v>58.284883720930239</v>
      </c>
      <c r="AS7" s="30">
        <f t="shared" si="101"/>
        <v>57.24431818181818</v>
      </c>
      <c r="AT7" s="30">
        <f t="shared" si="101"/>
        <v>58.055555555555557</v>
      </c>
      <c r="AU7" s="30">
        <f t="shared" si="101"/>
        <v>58.423913043478258</v>
      </c>
      <c r="AV7" s="30">
        <f t="shared" si="101"/>
        <v>59.042553191489368</v>
      </c>
      <c r="AW7" s="30">
        <f t="shared" si="101"/>
        <v>58.984375</v>
      </c>
      <c r="AX7" s="30">
        <f t="shared" si="101"/>
        <v>59.821428571428569</v>
      </c>
      <c r="AY7" s="30">
        <f t="shared" si="101"/>
        <v>59.562499999999993</v>
      </c>
      <c r="AZ7" s="30">
        <f t="shared" si="101"/>
        <v>59.620098039215684</v>
      </c>
      <c r="BA7" s="30">
        <f t="shared" si="101"/>
        <v>59.97596153846154</v>
      </c>
      <c r="BB7" s="30">
        <f t="shared" si="101"/>
        <v>60.141509433962256</v>
      </c>
      <c r="BC7" s="30">
        <f t="shared" si="101"/>
        <v>60.300925925925931</v>
      </c>
      <c r="BD7" s="30">
        <f t="shared" si="101"/>
        <v>59.659090909090907</v>
      </c>
      <c r="BE7" s="30">
        <f t="shared" si="101"/>
        <v>60.435267857142861</v>
      </c>
      <c r="BF7" s="30">
        <f t="shared" si="101"/>
        <v>60.142543859649123</v>
      </c>
      <c r="BG7" s="30">
        <f t="shared" si="101"/>
        <v>60.452586206896555</v>
      </c>
      <c r="BH7" s="30">
        <f t="shared" si="101"/>
        <v>60.328389830508478</v>
      </c>
      <c r="BI7" s="30">
        <f t="shared" si="101"/>
        <v>59.739583333333336</v>
      </c>
      <c r="BJ7" s="30">
        <f t="shared" si="101"/>
        <v>59.83606557377049</v>
      </c>
      <c r="BK7" s="30">
        <f t="shared" si="101"/>
        <v>59.929435483870961</v>
      </c>
      <c r="BL7" s="30">
        <f t="shared" si="101"/>
        <v>60.56547619047619</v>
      </c>
      <c r="BM7" s="30">
        <f t="shared" si="101"/>
        <v>60.595703125</v>
      </c>
      <c r="BN7" s="30">
        <f t="shared" si="101"/>
        <v>60.67307692307692</v>
      </c>
      <c r="BO7" s="30">
        <f t="shared" si="101"/>
        <v>61.363636363636367</v>
      </c>
      <c r="BP7" s="30">
        <f t="shared" ref="BP7:EA7" si="102">((BP$6/8)*100)</f>
        <v>61.847014925373131</v>
      </c>
      <c r="BQ7" s="30">
        <f t="shared" si="102"/>
        <v>62.040441176470587</v>
      </c>
      <c r="BR7" s="30">
        <f t="shared" si="102"/>
        <v>62.228260869565219</v>
      </c>
      <c r="BS7" s="30">
        <f t="shared" si="102"/>
        <v>61.517857142857146</v>
      </c>
      <c r="BT7" s="30">
        <f t="shared" si="102"/>
        <v>62.588028169014088</v>
      </c>
      <c r="BU7" s="30">
        <f t="shared" si="102"/>
        <v>62.456597222222221</v>
      </c>
      <c r="BV7" s="30">
        <f t="shared" si="102"/>
        <v>62.928082191780824</v>
      </c>
      <c r="BW7" s="30">
        <f t="shared" si="102"/>
        <v>62.753378378378379</v>
      </c>
      <c r="BX7" s="30">
        <f t="shared" si="102"/>
        <v>62.583333333333336</v>
      </c>
      <c r="BY7" s="30">
        <f t="shared" si="102"/>
        <v>63.692434210526315</v>
      </c>
      <c r="BZ7" s="30">
        <f t="shared" si="102"/>
        <v>63.149350649350644</v>
      </c>
      <c r="CA7" s="30">
        <f t="shared" si="102"/>
        <v>63.421474358974365</v>
      </c>
      <c r="CB7" s="30">
        <f t="shared" si="102"/>
        <v>63.686708860759488</v>
      </c>
      <c r="CC7" s="30">
        <f t="shared" si="102"/>
        <v>63.90625</v>
      </c>
      <c r="CD7" s="30">
        <f t="shared" si="102"/>
        <v>63.695987654320987</v>
      </c>
      <c r="CE7" s="30">
        <f t="shared" si="102"/>
        <v>63.567073170731703</v>
      </c>
      <c r="CF7" s="30">
        <f t="shared" si="102"/>
        <v>63.893072289156628</v>
      </c>
      <c r="CG7" s="30">
        <f t="shared" si="102"/>
        <v>64.09970238095238</v>
      </c>
      <c r="CH7" s="30">
        <f t="shared" si="102"/>
        <v>63.970588235294116</v>
      </c>
      <c r="CI7" s="30">
        <f t="shared" si="102"/>
        <v>64.098837209302332</v>
      </c>
      <c r="CJ7" s="30">
        <f t="shared" si="102"/>
        <v>64.044540229885058</v>
      </c>
      <c r="CK7" s="30">
        <f t="shared" si="102"/>
        <v>64.275568181818173</v>
      </c>
      <c r="CL7" s="30">
        <f t="shared" si="102"/>
        <v>64.290730337078656</v>
      </c>
      <c r="CM7" s="30">
        <f t="shared" si="102"/>
        <v>64.930555555555557</v>
      </c>
      <c r="CN7" s="30">
        <f t="shared" si="102"/>
        <v>65.109890109890117</v>
      </c>
      <c r="CO7" s="30">
        <f t="shared" si="102"/>
        <v>65.183423913043484</v>
      </c>
      <c r="CP7" s="30">
        <f t="shared" si="102"/>
        <v>64.986559139784944</v>
      </c>
      <c r="CQ7" s="30">
        <f t="shared" si="102"/>
        <v>65.192819148936167</v>
      </c>
      <c r="CR7" s="30">
        <f t="shared" si="102"/>
        <v>65.953947368421055</v>
      </c>
      <c r="CS7" s="30">
        <f t="shared" si="102"/>
        <v>66.2109375</v>
      </c>
      <c r="CT7" s="30">
        <f t="shared" si="102"/>
        <v>66.559278350515456</v>
      </c>
      <c r="CU7" s="30">
        <f t="shared" si="102"/>
        <v>67.283163265306129</v>
      </c>
      <c r="CV7" s="30">
        <f t="shared" si="102"/>
        <v>68.718434343434339</v>
      </c>
      <c r="CW7" s="30">
        <f t="shared" si="102"/>
        <v>68.34375</v>
      </c>
      <c r="CX7" s="30">
        <f t="shared" si="102"/>
        <v>68.533415841584159</v>
      </c>
      <c r="CY7" s="30">
        <f t="shared" si="102"/>
        <v>68.19852941176471</v>
      </c>
      <c r="CZ7" s="30">
        <f t="shared" si="102"/>
        <v>67.748786407766985</v>
      </c>
      <c r="DA7" s="30">
        <f t="shared" si="102"/>
        <v>67.097355769230774</v>
      </c>
      <c r="DB7" s="30">
        <f t="shared" si="102"/>
        <v>67.232142857142861</v>
      </c>
      <c r="DC7" s="30">
        <f t="shared" si="102"/>
        <v>67.010613207547166</v>
      </c>
      <c r="DD7" s="30">
        <f t="shared" si="102"/>
        <v>67.348130841121502</v>
      </c>
      <c r="DE7" s="30">
        <f t="shared" si="102"/>
        <v>67.21643518518519</v>
      </c>
      <c r="DF7" s="30">
        <f t="shared" si="102"/>
        <v>67.631880733944953</v>
      </c>
      <c r="DG7" s="30">
        <f t="shared" si="102"/>
        <v>67.72727272727272</v>
      </c>
      <c r="DH7" s="30">
        <f t="shared" si="102"/>
        <v>67.342342342342349</v>
      </c>
      <c r="DI7" s="30">
        <f t="shared" si="102"/>
        <v>67.606026785714292</v>
      </c>
      <c r="DJ7" s="30">
        <f t="shared" si="102"/>
        <v>67.477876106194685</v>
      </c>
      <c r="DK7" s="30">
        <f t="shared" si="102"/>
        <v>67.817982456140342</v>
      </c>
      <c r="DL7" s="30">
        <f t="shared" si="102"/>
        <v>68.478260869565219</v>
      </c>
      <c r="DM7" s="30">
        <f t="shared" si="102"/>
        <v>67.887931034482762</v>
      </c>
      <c r="DN7" s="30">
        <f t="shared" si="102"/>
        <v>67.975427350427353</v>
      </c>
      <c r="DO7" s="30">
        <f t="shared" si="102"/>
        <v>68.034957627118644</v>
      </c>
      <c r="DP7" s="30">
        <f t="shared" si="102"/>
        <v>68.329831932773118</v>
      </c>
      <c r="DQ7" s="30">
        <f t="shared" si="102"/>
        <v>68.072916666666671</v>
      </c>
      <c r="DR7" s="30">
        <f t="shared" si="102"/>
        <v>68.207644628099175</v>
      </c>
      <c r="DS7" s="30">
        <f t="shared" si="102"/>
        <v>68.263319672131146</v>
      </c>
      <c r="DT7" s="30">
        <f t="shared" si="102"/>
        <v>68.699186991869922</v>
      </c>
      <c r="DU7" s="30">
        <f t="shared" si="102"/>
        <v>68.145161290322577</v>
      </c>
      <c r="DV7" s="30">
        <f t="shared" si="102"/>
        <v>68.474999999999994</v>
      </c>
      <c r="DW7" s="30">
        <f t="shared" si="102"/>
        <v>68.055555555555557</v>
      </c>
      <c r="DX7" s="30">
        <f t="shared" si="102"/>
        <v>67.519685039370074</v>
      </c>
      <c r="DY7" s="30">
        <f t="shared" si="102"/>
        <v>66.9921875</v>
      </c>
      <c r="DZ7" s="30">
        <f t="shared" si="102"/>
        <v>67.126937984496124</v>
      </c>
      <c r="EA7" s="30">
        <f t="shared" si="102"/>
        <v>67.13942307692308</v>
      </c>
      <c r="EB7" s="30">
        <f t="shared" ref="EB7:GM7" si="103">((EB$6/8)*100)</f>
        <v>66.81774809160305</v>
      </c>
      <c r="EC7" s="30">
        <f t="shared" si="103"/>
        <v>67.163825757575751</v>
      </c>
      <c r="ED7" s="30">
        <f t="shared" si="103"/>
        <v>67.504699248120303</v>
      </c>
      <c r="EE7" s="30">
        <f t="shared" si="103"/>
        <v>67.933768656716424</v>
      </c>
      <c r="EF7" s="30">
        <f t="shared" si="103"/>
        <v>68.287037037037038</v>
      </c>
      <c r="EG7" s="30">
        <f t="shared" si="103"/>
        <v>68.267463235294116</v>
      </c>
      <c r="EH7" s="30">
        <f t="shared" si="103"/>
        <v>68.15693430656934</v>
      </c>
      <c r="EI7" s="30">
        <f t="shared" si="103"/>
        <v>68.115942028985515</v>
      </c>
      <c r="EJ7" s="30">
        <f t="shared" si="103"/>
        <v>67.873201438848923</v>
      </c>
      <c r="EK7" s="30">
        <f t="shared" si="103"/>
        <v>68.058035714285708</v>
      </c>
      <c r="EL7" s="30">
        <f t="shared" si="103"/>
        <v>67.664007092198588</v>
      </c>
      <c r="EM7" s="30">
        <f t="shared" si="103"/>
        <v>67.407570422535215</v>
      </c>
      <c r="EN7" s="30">
        <f t="shared" si="103"/>
        <v>66.936188811188813</v>
      </c>
      <c r="EO7" s="30">
        <f t="shared" si="103"/>
        <v>66.666666666666657</v>
      </c>
      <c r="EP7" s="30">
        <f t="shared" si="103"/>
        <v>66.896551724137936</v>
      </c>
      <c r="EQ7" s="30">
        <f t="shared" si="103"/>
        <v>67.080479452054803</v>
      </c>
      <c r="ER7" s="30">
        <f t="shared" si="103"/>
        <v>67.134353741496597</v>
      </c>
      <c r="ES7" s="30">
        <f t="shared" si="103"/>
        <v>67.271959459459467</v>
      </c>
      <c r="ET7" s="30">
        <f t="shared" si="103"/>
        <v>67.617449664429529</v>
      </c>
      <c r="EU7" s="30">
        <f t="shared" si="103"/>
        <v>67.6875</v>
      </c>
      <c r="EV7" s="30">
        <f t="shared" si="103"/>
        <v>67.57036423841059</v>
      </c>
      <c r="EW7" s="30">
        <f t="shared" si="103"/>
        <v>67.598684210526315</v>
      </c>
      <c r="EX7" s="30">
        <f t="shared" si="103"/>
        <v>67.279411764705884</v>
      </c>
      <c r="EY7" s="30">
        <f t="shared" si="103"/>
        <v>67.755681818181827</v>
      </c>
      <c r="EZ7" s="30">
        <f t="shared" si="103"/>
        <v>67.943548387096769</v>
      </c>
      <c r="FA7" s="30">
        <f t="shared" si="103"/>
        <v>67.508012820512818</v>
      </c>
      <c r="FB7" s="30">
        <f t="shared" si="103"/>
        <v>67.078025477707001</v>
      </c>
      <c r="FC7" s="30">
        <f t="shared" si="103"/>
        <v>66.653481012658233</v>
      </c>
      <c r="FD7" s="30">
        <f t="shared" si="103"/>
        <v>66.234276729559753</v>
      </c>
      <c r="FE7" s="30">
        <f t="shared" si="103"/>
        <v>66.3671875</v>
      </c>
      <c r="FF7" s="30">
        <f t="shared" si="103"/>
        <v>66.265527950310556</v>
      </c>
      <c r="FG7" s="30">
        <f t="shared" si="103"/>
        <v>66.338734567901241</v>
      </c>
      <c r="FH7" s="30">
        <f t="shared" si="103"/>
        <v>66.219325153374228</v>
      </c>
      <c r="FI7" s="30">
        <f t="shared" si="103"/>
        <v>66.120426829268297</v>
      </c>
      <c r="FJ7" s="30">
        <f t="shared" si="103"/>
        <v>66.780303030303031</v>
      </c>
      <c r="FK7" s="30">
        <f t="shared" si="103"/>
        <v>66.679216867469876</v>
      </c>
      <c r="FL7" s="30">
        <f t="shared" si="103"/>
        <v>66.803892215568865</v>
      </c>
      <c r="FM7" s="30">
        <f t="shared" si="103"/>
        <v>67.20610119047619</v>
      </c>
      <c r="FN7" s="30">
        <f t="shared" si="103"/>
        <v>67.14127218934911</v>
      </c>
      <c r="FO7" s="30">
        <f t="shared" si="103"/>
        <v>66.893382352941174</v>
      </c>
      <c r="FP7" s="30">
        <f t="shared" si="103"/>
        <v>66.904239766081872</v>
      </c>
      <c r="FQ7" s="30">
        <f t="shared" si="103"/>
        <v>66.733284883720927</v>
      </c>
      <c r="FR7" s="30">
        <f t="shared" si="103"/>
        <v>67.124277456647391</v>
      </c>
      <c r="FS7" s="30">
        <f t="shared" si="103"/>
        <v>67.133620689655174</v>
      </c>
      <c r="FT7" s="30">
        <f t="shared" si="103"/>
        <v>66.910714285714292</v>
      </c>
      <c r="FU7" s="30">
        <f t="shared" si="103"/>
        <v>66.796875</v>
      </c>
      <c r="FV7" s="30">
        <f t="shared" si="103"/>
        <v>66.949152542372886</v>
      </c>
      <c r="FW7" s="30">
        <f t="shared" si="103"/>
        <v>67.047050561797747</v>
      </c>
      <c r="FX7" s="30">
        <f t="shared" si="103"/>
        <v>67.266061452513966</v>
      </c>
      <c r="FY7" s="30">
        <f t="shared" si="103"/>
        <v>67.083333333333329</v>
      </c>
      <c r="FZ7" s="30">
        <f t="shared" si="103"/>
        <v>67.127071823204417</v>
      </c>
      <c r="GA7" s="30">
        <f t="shared" si="103"/>
        <v>67.376373626373635</v>
      </c>
      <c r="GB7" s="30">
        <f t="shared" si="103"/>
        <v>67.298497267759558</v>
      </c>
      <c r="GC7" s="30">
        <f t="shared" si="103"/>
        <v>67.49320652173914</v>
      </c>
      <c r="GD7" s="30">
        <f t="shared" si="103"/>
        <v>67.60135135135134</v>
      </c>
      <c r="GE7" s="30">
        <f t="shared" si="103"/>
        <v>67.825940860215056</v>
      </c>
      <c r="GF7" s="30">
        <f t="shared" si="103"/>
        <v>67.881016042780757</v>
      </c>
      <c r="GG7" s="30">
        <f t="shared" si="103"/>
        <v>67.669547872340431</v>
      </c>
      <c r="GH7" s="30">
        <f t="shared" si="103"/>
        <v>67.906746031746039</v>
      </c>
      <c r="GI7" s="30">
        <f t="shared" si="103"/>
        <v>67.89473684210526</v>
      </c>
      <c r="GJ7" s="30">
        <f t="shared" si="103"/>
        <v>67.751963350785331</v>
      </c>
      <c r="GK7" s="30">
        <f t="shared" si="103"/>
        <v>67.887369791666657</v>
      </c>
      <c r="GL7" s="30">
        <f t="shared" si="103"/>
        <v>68.231865284974091</v>
      </c>
      <c r="GM7" s="30">
        <f t="shared" si="103"/>
        <v>68.137886597938149</v>
      </c>
      <c r="GN7" s="30">
        <f t="shared" ref="GN7:IZ7" si="104">((GN$6/8)*100)</f>
        <v>68.269230769230774</v>
      </c>
      <c r="GO7" s="30">
        <f t="shared" si="104"/>
        <v>68.335459183673478</v>
      </c>
      <c r="GP7" s="30">
        <f t="shared" si="104"/>
        <v>68.289974619289339</v>
      </c>
      <c r="GQ7" s="30">
        <f t="shared" si="104"/>
        <v>68.32386363636364</v>
      </c>
      <c r="GR7" s="30">
        <f t="shared" si="104"/>
        <v>68.106155778894475</v>
      </c>
      <c r="GS7" s="30">
        <f t="shared" si="104"/>
        <v>68.140625</v>
      </c>
      <c r="GT7" s="30">
        <f t="shared" si="104"/>
        <v>68.330223880597018</v>
      </c>
      <c r="GU7" s="30">
        <f t="shared" si="104"/>
        <v>68.425123762376245</v>
      </c>
      <c r="GV7" s="30">
        <f t="shared" si="104"/>
        <v>68.195812807881779</v>
      </c>
      <c r="GW7" s="30">
        <f t="shared" si="104"/>
        <v>67.907475490196077</v>
      </c>
      <c r="GX7" s="30">
        <f t="shared" si="104"/>
        <v>68.079268292682926</v>
      </c>
      <c r="GY7" s="30">
        <f t="shared" si="104"/>
        <v>68.097694174757279</v>
      </c>
      <c r="GZ7" s="30">
        <f t="shared" si="104"/>
        <v>67.768719806763286</v>
      </c>
      <c r="HA7" s="30">
        <f t="shared" si="104"/>
        <v>67.698317307692307</v>
      </c>
      <c r="HB7" s="30">
        <f t="shared" si="104"/>
        <v>67.508971291866033</v>
      </c>
      <c r="HC7" s="30">
        <f t="shared" si="104"/>
        <v>67.723214285714278</v>
      </c>
      <c r="HD7" s="30">
        <f t="shared" si="104"/>
        <v>67.772511848341239</v>
      </c>
      <c r="HE7" s="30">
        <f t="shared" si="104"/>
        <v>67.998231132075475</v>
      </c>
      <c r="HF7" s="30">
        <f t="shared" si="104"/>
        <v>67.811032863849761</v>
      </c>
      <c r="HG7" s="30">
        <f t="shared" si="104"/>
        <v>67.494158878504678</v>
      </c>
      <c r="HH7" s="30">
        <f t="shared" si="104"/>
        <v>67.412790697674424</v>
      </c>
      <c r="HI7" s="30">
        <f t="shared" si="104"/>
        <v>67.375578703703709</v>
      </c>
      <c r="HJ7" s="30">
        <f t="shared" si="104"/>
        <v>67.727534562211972</v>
      </c>
      <c r="HK7" s="30">
        <f t="shared" si="104"/>
        <v>67.861238532110093</v>
      </c>
      <c r="HL7" s="30">
        <f t="shared" si="104"/>
        <v>67.779680365296798</v>
      </c>
      <c r="HM7" s="30">
        <f t="shared" si="104"/>
        <v>67.911931818181813</v>
      </c>
      <c r="HN7" s="30">
        <f t="shared" si="104"/>
        <v>67.604638009049779</v>
      </c>
      <c r="HO7" s="30">
        <f t="shared" si="104"/>
        <v>67.694256756756758</v>
      </c>
      <c r="HP7" s="30">
        <f t="shared" si="104"/>
        <v>67.642937219730939</v>
      </c>
      <c r="HQ7" s="30">
        <f t="shared" si="104"/>
        <v>67.606026785714292</v>
      </c>
      <c r="HR7" s="30">
        <f t="shared" si="104"/>
        <v>67.680555555555557</v>
      </c>
      <c r="HS7" s="30">
        <f t="shared" si="104"/>
        <v>67.795907079646028</v>
      </c>
      <c r="HT7" s="30">
        <f t="shared" si="104"/>
        <v>67.979074889867846</v>
      </c>
      <c r="HU7" s="30">
        <f t="shared" si="104"/>
        <v>68.105811403508781</v>
      </c>
      <c r="HV7" s="30">
        <f t="shared" si="104"/>
        <v>68.245087336244538</v>
      </c>
      <c r="HW7" s="30">
        <f t="shared" si="104"/>
        <v>68.383152173913047</v>
      </c>
      <c r="HX7" s="30">
        <f t="shared" si="104"/>
        <v>68.41179653679653</v>
      </c>
      <c r="HY7" s="30">
        <f t="shared" si="104"/>
        <v>68.574892241379317</v>
      </c>
      <c r="HZ7" s="30">
        <f t="shared" si="104"/>
        <v>68.521995708154506</v>
      </c>
      <c r="IA7" s="30">
        <f t="shared" si="104"/>
        <v>68.549679487179489</v>
      </c>
      <c r="IB7" s="30">
        <f t="shared" si="104"/>
        <v>68.696808510638292</v>
      </c>
      <c r="IC7" s="30">
        <f t="shared" si="104"/>
        <v>68.683792372881356</v>
      </c>
      <c r="ID7" s="30">
        <f t="shared" si="104"/>
        <v>68.815928270042193</v>
      </c>
      <c r="IE7" s="30">
        <f t="shared" si="104"/>
        <v>68.841911764705884</v>
      </c>
      <c r="IF7" s="30">
        <f t="shared" si="104"/>
        <v>68.906903765690373</v>
      </c>
      <c r="IG7" s="30">
        <f t="shared" si="104"/>
        <v>68.90625</v>
      </c>
      <c r="IH7" s="30">
        <f t="shared" si="104"/>
        <v>68.866701244813271</v>
      </c>
      <c r="II7" s="30">
        <f t="shared" si="104"/>
        <v>68.582128099173559</v>
      </c>
      <c r="IJ7" s="30">
        <f t="shared" si="104"/>
        <v>68.672839506172849</v>
      </c>
      <c r="IK7" s="30">
        <f t="shared" si="104"/>
        <v>68.570696721311478</v>
      </c>
      <c r="IL7" s="30">
        <f t="shared" si="104"/>
        <v>68.801020408163254</v>
      </c>
      <c r="IM7" s="30">
        <f t="shared" si="104"/>
        <v>68.75</v>
      </c>
      <c r="IN7" s="30">
        <f t="shared" si="104"/>
        <v>68.825910931174079</v>
      </c>
      <c r="IO7" s="30">
        <f t="shared" si="104"/>
        <v>69.128024193548384</v>
      </c>
      <c r="IP7" s="30">
        <f t="shared" si="104"/>
        <v>69.051204819277118</v>
      </c>
      <c r="IQ7" s="30">
        <f t="shared" si="104"/>
        <v>69.037499999999994</v>
      </c>
      <c r="IR7" s="30">
        <f t="shared" si="104"/>
        <v>69.384960159362549</v>
      </c>
      <c r="IS7" s="30">
        <f t="shared" si="104"/>
        <v>69.308035714285708</v>
      </c>
      <c r="IT7" s="30">
        <f t="shared" si="104"/>
        <v>69.379940711462453</v>
      </c>
      <c r="IU7" s="30">
        <f t="shared" si="104"/>
        <v>69.500492125984252</v>
      </c>
      <c r="IV7" s="30">
        <f t="shared" si="104"/>
        <v>69.546568627450981</v>
      </c>
      <c r="IW7" s="30">
        <f t="shared" si="104"/>
        <v>69.921875</v>
      </c>
      <c r="IX7" s="30">
        <f t="shared" si="104"/>
        <v>69.953793774319067</v>
      </c>
      <c r="IY7" s="30">
        <f t="shared" si="104"/>
        <v>69.924903100775197</v>
      </c>
      <c r="IZ7" s="30">
        <f t="shared" si="104"/>
        <v>70.197876447876453</v>
      </c>
      <c r="JA7" s="30">
        <f t="shared" ref="JA7:LL7" si="105">((JA$6/8)*100)</f>
        <v>70.432692307692307</v>
      </c>
      <c r="JB7" s="30">
        <f t="shared" si="105"/>
        <v>70.557950191570882</v>
      </c>
      <c r="JC7" s="30">
        <f t="shared" si="105"/>
        <v>70.68225190839695</v>
      </c>
      <c r="JD7" s="30">
        <f t="shared" si="105"/>
        <v>70.627376425855516</v>
      </c>
      <c r="JE7" s="30">
        <f t="shared" si="105"/>
        <v>70.359848484848484</v>
      </c>
      <c r="JF7" s="30">
        <f t="shared" si="105"/>
        <v>70.094339622641513</v>
      </c>
      <c r="JG7" s="30">
        <f t="shared" si="105"/>
        <v>69.830827067669176</v>
      </c>
      <c r="JH7" s="30">
        <f t="shared" si="105"/>
        <v>69.569288389513105</v>
      </c>
      <c r="JI7" s="30">
        <f t="shared" si="105"/>
        <v>69.682835820895534</v>
      </c>
      <c r="JJ7" s="30">
        <f t="shared" si="105"/>
        <v>69.737453531598518</v>
      </c>
      <c r="JK7" s="30">
        <f t="shared" si="105"/>
        <v>69.571759259259252</v>
      </c>
      <c r="JL7" s="30">
        <f t="shared" si="105"/>
        <v>69.637915129151295</v>
      </c>
      <c r="JM7" s="30">
        <f t="shared" si="105"/>
        <v>69.79549632352942</v>
      </c>
      <c r="JN7" s="30">
        <f t="shared" si="105"/>
        <v>69.631410256410248</v>
      </c>
      <c r="JO7" s="30">
        <f t="shared" si="105"/>
        <v>70.141423357664237</v>
      </c>
      <c r="JP7" s="30">
        <f t="shared" si="105"/>
        <v>69.88636363636364</v>
      </c>
      <c r="JQ7" s="30">
        <f t="shared" si="105"/>
        <v>69.972826086956516</v>
      </c>
      <c r="JR7" s="30">
        <f t="shared" si="105"/>
        <v>70.036101083032491</v>
      </c>
      <c r="JS7" s="30">
        <f t="shared" si="105"/>
        <v>70.031474820143885</v>
      </c>
      <c r="JT7" s="30">
        <f t="shared" si="105"/>
        <v>70.105286738351253</v>
      </c>
      <c r="JU7" s="30">
        <f t="shared" si="105"/>
        <v>70.122767857142847</v>
      </c>
      <c r="JV7" s="30">
        <f t="shared" si="105"/>
        <v>69.8732206405694</v>
      </c>
      <c r="JW7" s="30">
        <f t="shared" si="105"/>
        <v>69.625443262411352</v>
      </c>
      <c r="JX7" s="30">
        <f t="shared" si="105"/>
        <v>69.666519434628967</v>
      </c>
      <c r="JY7" s="30">
        <f t="shared" si="105"/>
        <v>69.718309859154928</v>
      </c>
      <c r="JZ7" s="30">
        <f t="shared" si="105"/>
        <v>69.660087719298247</v>
      </c>
      <c r="KA7" s="30">
        <f t="shared" si="105"/>
        <v>69.85358391608392</v>
      </c>
      <c r="KB7" s="30">
        <f t="shared" si="105"/>
        <v>69.697299651567945</v>
      </c>
      <c r="KC7" s="30">
        <f t="shared" si="105"/>
        <v>69.618055555555557</v>
      </c>
      <c r="KD7" s="30">
        <f t="shared" si="105"/>
        <v>69.474480968858131</v>
      </c>
      <c r="KE7" s="30">
        <f t="shared" si="105"/>
        <v>69.698275862068968</v>
      </c>
      <c r="KF7" s="30">
        <f t="shared" si="105"/>
        <v>69.458762886597938</v>
      </c>
      <c r="KG7" s="30">
        <f t="shared" si="105"/>
        <v>69.456335616438352</v>
      </c>
      <c r="KH7" s="30">
        <f t="shared" si="105"/>
        <v>69.411262798634809</v>
      </c>
      <c r="KI7" s="30">
        <f t="shared" si="105"/>
        <v>69.281462585034021</v>
      </c>
      <c r="KJ7" s="30">
        <f t="shared" si="105"/>
        <v>69.216101694915253</v>
      </c>
      <c r="KK7" s="30">
        <f t="shared" si="105"/>
        <v>69.066722972972968</v>
      </c>
      <c r="KL7" s="30">
        <f t="shared" si="105"/>
        <v>69.149831649831654</v>
      </c>
      <c r="KM7" s="30">
        <f t="shared" si="105"/>
        <v>68.917785234899327</v>
      </c>
      <c r="KN7" s="30">
        <f t="shared" si="105"/>
        <v>69.042642140468217</v>
      </c>
      <c r="KO7" s="30">
        <f t="shared" si="105"/>
        <v>68.96875</v>
      </c>
      <c r="KP7" s="30">
        <f t="shared" si="105"/>
        <v>68.988787375415285</v>
      </c>
      <c r="KQ7" s="30">
        <f t="shared" si="105"/>
        <v>68.822433774834437</v>
      </c>
      <c r="KR7" s="30">
        <f t="shared" si="105"/>
        <v>68.791254125412536</v>
      </c>
      <c r="KS7" s="30">
        <f t="shared" si="105"/>
        <v>68.616365131578945</v>
      </c>
      <c r="KT7" s="30">
        <f t="shared" si="105"/>
        <v>68.801229508196727</v>
      </c>
      <c r="KU7" s="30">
        <f t="shared" si="105"/>
        <v>68.576388888888886</v>
      </c>
      <c r="KV7" s="30">
        <f t="shared" si="105"/>
        <v>68.35301302931596</v>
      </c>
      <c r="KW7" s="30">
        <f t="shared" si="105"/>
        <v>68.405032467532465</v>
      </c>
      <c r="KX7" s="30">
        <f t="shared" si="105"/>
        <v>68.183656957928804</v>
      </c>
      <c r="KY7" s="30">
        <f t="shared" si="105"/>
        <v>68.064516129032256</v>
      </c>
      <c r="KZ7" s="30">
        <f t="shared" si="105"/>
        <v>67.936093247588431</v>
      </c>
      <c r="LA7" s="30">
        <f t="shared" si="105"/>
        <v>67.838541666666657</v>
      </c>
      <c r="LB7" s="30">
        <f t="shared" si="105"/>
        <v>67.901357827476033</v>
      </c>
      <c r="LC7" s="30">
        <f t="shared" si="105"/>
        <v>67.844347133757964</v>
      </c>
      <c r="LD7" s="30">
        <f t="shared" si="105"/>
        <v>67.916666666666671</v>
      </c>
      <c r="LE7" s="30">
        <f t="shared" si="105"/>
        <v>67.701740506329116</v>
      </c>
      <c r="LF7" s="30">
        <f t="shared" si="105"/>
        <v>67.79376971608832</v>
      </c>
      <c r="LG7" s="30">
        <f t="shared" si="105"/>
        <v>67.580581761006286</v>
      </c>
      <c r="LH7" s="30">
        <f t="shared" si="105"/>
        <v>67.368730407523515</v>
      </c>
      <c r="LI7" s="30">
        <f t="shared" si="105"/>
        <v>67.236328125</v>
      </c>
      <c r="LJ7" s="30">
        <f t="shared" si="105"/>
        <v>67.026869158878498</v>
      </c>
      <c r="LK7" s="30">
        <f t="shared" si="105"/>
        <v>66.983695652173907</v>
      </c>
      <c r="LL7" s="30">
        <f t="shared" si="105"/>
        <v>67.231037151702793</v>
      </c>
      <c r="LM7" s="30">
        <f t="shared" ref="LM7:NY7" si="106">((LM$6/8)*100)</f>
        <v>67.235725308641975</v>
      </c>
      <c r="LN7" s="30">
        <f t="shared" si="106"/>
        <v>67.288461538461547</v>
      </c>
      <c r="LO7" s="30">
        <f t="shared" si="106"/>
        <v>67.245015337423311</v>
      </c>
      <c r="LP7" s="30">
        <f t="shared" si="106"/>
        <v>67.192278287461775</v>
      </c>
      <c r="LQ7" s="30">
        <f t="shared" si="106"/>
        <v>67.073170731707322</v>
      </c>
      <c r="LR7" s="30">
        <f t="shared" si="106"/>
        <v>67.097264437689972</v>
      </c>
      <c r="LS7" s="30">
        <f t="shared" si="106"/>
        <v>67.234848484848484</v>
      </c>
      <c r="LT7" s="30">
        <f t="shared" si="106"/>
        <v>67.126132930513592</v>
      </c>
      <c r="LU7" s="30">
        <f t="shared" si="106"/>
        <v>67.102786144578303</v>
      </c>
      <c r="LV7" s="30">
        <f t="shared" si="106"/>
        <v>67.154654654654649</v>
      </c>
      <c r="LW7" s="30">
        <f t="shared" si="106"/>
        <v>67.037799401197603</v>
      </c>
      <c r="LX7" s="30">
        <f t="shared" si="106"/>
        <v>67.052238805970148</v>
      </c>
      <c r="LY7" s="30">
        <f t="shared" si="106"/>
        <v>67.15029761904762</v>
      </c>
      <c r="LZ7" s="30">
        <f t="shared" si="106"/>
        <v>67.247774480712167</v>
      </c>
      <c r="MA7" s="30">
        <f t="shared" si="106"/>
        <v>67.353920118343197</v>
      </c>
      <c r="MB7" s="30">
        <f t="shared" si="106"/>
        <v>67.57005899705014</v>
      </c>
      <c r="MC7" s="30">
        <f t="shared" si="106"/>
        <v>67.674632352941174</v>
      </c>
      <c r="MD7" s="30">
        <f t="shared" si="106"/>
        <v>67.778592375366571</v>
      </c>
      <c r="ME7" s="30">
        <f t="shared" si="106"/>
        <v>67.726608187134502</v>
      </c>
      <c r="MF7" s="30">
        <f t="shared" si="106"/>
        <v>67.756924198250729</v>
      </c>
      <c r="MG7" s="30">
        <f t="shared" si="106"/>
        <v>67.750726744186053</v>
      </c>
      <c r="MH7" s="30">
        <f t="shared" si="106"/>
        <v>67.744565217391312</v>
      </c>
      <c r="MI7" s="30">
        <f t="shared" si="106"/>
        <v>67.756502890173408</v>
      </c>
      <c r="MJ7" s="30">
        <f t="shared" si="106"/>
        <v>67.768371757925067</v>
      </c>
      <c r="MK7" s="30">
        <f t="shared" si="106"/>
        <v>68.049568965517238</v>
      </c>
      <c r="ML7" s="30">
        <f t="shared" si="106"/>
        <v>68.006805157593121</v>
      </c>
      <c r="MM7" s="30">
        <f t="shared" si="106"/>
        <v>68.089285714285722</v>
      </c>
      <c r="MN7" s="30">
        <f t="shared" si="106"/>
        <v>68.135683760683762</v>
      </c>
      <c r="MO7" s="30">
        <f t="shared" si="106"/>
        <v>68.146306818181827</v>
      </c>
      <c r="MP7" s="30">
        <f t="shared" si="106"/>
        <v>68.032932011331454</v>
      </c>
      <c r="MQ7" s="30">
        <f t="shared" si="106"/>
        <v>68.105579096045204</v>
      </c>
      <c r="MR7" s="30">
        <f t="shared" si="106"/>
        <v>68.230633802816897</v>
      </c>
      <c r="MS7" s="30">
        <f t="shared" si="106"/>
        <v>68.232092696629209</v>
      </c>
      <c r="MT7" s="30">
        <f t="shared" si="106"/>
        <v>68.189775910364148</v>
      </c>
      <c r="MU7" s="30">
        <f t="shared" si="106"/>
        <v>68.269902234636874</v>
      </c>
      <c r="MV7" s="30">
        <f t="shared" si="106"/>
        <v>68.184192200557106</v>
      </c>
      <c r="MW7" s="30">
        <f t="shared" si="106"/>
        <v>68.185763888888886</v>
      </c>
      <c r="MX7" s="30">
        <f t="shared" si="106"/>
        <v>68.21329639889197</v>
      </c>
      <c r="MY7" s="30">
        <f t="shared" si="106"/>
        <v>68.301104972375697</v>
      </c>
      <c r="MZ7" s="30">
        <f t="shared" si="106"/>
        <v>68.190426997245183</v>
      </c>
      <c r="NA7" s="30">
        <f t="shared" si="106"/>
        <v>68.157623626373635</v>
      </c>
      <c r="NB7" s="30">
        <f t="shared" si="106"/>
        <v>68.202054794520549</v>
      </c>
      <c r="NC7" s="30">
        <f t="shared" si="106"/>
        <v>68.01571038251366</v>
      </c>
      <c r="ND7" s="30">
        <f t="shared" si="106"/>
        <v>67.932561307901906</v>
      </c>
      <c r="NE7" s="30">
        <f t="shared" si="106"/>
        <v>67.747961956521735</v>
      </c>
      <c r="NF7" s="30">
        <f t="shared" si="106"/>
        <v>67.699864498644985</v>
      </c>
      <c r="NG7" s="30">
        <f t="shared" si="106"/>
        <v>67.550675675675677</v>
      </c>
      <c r="NH7" s="30">
        <f t="shared" si="106"/>
        <v>67.393867924528308</v>
      </c>
      <c r="NI7" s="30">
        <f t="shared" si="106"/>
        <v>67.590725806451616</v>
      </c>
      <c r="NJ7" s="30">
        <f t="shared" si="106"/>
        <v>67.443029490616624</v>
      </c>
      <c r="NK7" s="30">
        <f t="shared" si="106"/>
        <v>67.722259358288767</v>
      </c>
      <c r="NL7" s="30">
        <f t="shared" si="106"/>
        <v>67.583333333333329</v>
      </c>
      <c r="NM7" s="30">
        <f t="shared" si="106"/>
        <v>67.727726063829792</v>
      </c>
      <c r="NN7" s="30">
        <f t="shared" si="106"/>
        <v>67.622679045092838</v>
      </c>
      <c r="NO7" s="30">
        <f t="shared" si="106"/>
        <v>67.774470899470899</v>
      </c>
      <c r="NP7" s="30">
        <f t="shared" si="106"/>
        <v>67.834762532981529</v>
      </c>
      <c r="NQ7" s="30">
        <f t="shared" si="106"/>
        <v>68.125</v>
      </c>
      <c r="NR7" s="30">
        <f t="shared" si="106"/>
        <v>68.200459317585299</v>
      </c>
      <c r="NS7" s="30">
        <f t="shared" si="106"/>
        <v>68.471858638743456</v>
      </c>
      <c r="NT7" s="30">
        <f t="shared" si="106"/>
        <v>68.35019582245431</v>
      </c>
      <c r="NU7" s="30">
        <f t="shared" si="106"/>
        <v>68.522135416666657</v>
      </c>
      <c r="NV7" s="30">
        <f t="shared" si="106"/>
        <v>68.63636363636364</v>
      </c>
      <c r="NW7" s="30">
        <f t="shared" si="106"/>
        <v>68.992875647668399</v>
      </c>
      <c r="NX7" s="30">
        <f t="shared" si="106"/>
        <v>68.959948320413432</v>
      </c>
      <c r="NY7" s="30">
        <f t="shared" si="106"/>
        <v>69.305734536082468</v>
      </c>
      <c r="NZ7" s="30">
        <f t="shared" ref="NZ7:OX7" si="107">((NZ$6/8)*100)</f>
        <v>69.424807197943451</v>
      </c>
      <c r="OA7" s="30">
        <f t="shared" si="107"/>
        <v>69.495192307692307</v>
      </c>
      <c r="OB7" s="30">
        <f t="shared" si="107"/>
        <v>69.669117647058826</v>
      </c>
      <c r="OC7" s="30">
        <f t="shared" si="107"/>
        <v>69.897959183673478</v>
      </c>
      <c r="OD7" s="30">
        <f t="shared" si="107"/>
        <v>69.879134860050897</v>
      </c>
      <c r="OE7" s="30">
        <f t="shared" si="107"/>
        <v>70.193527918781726</v>
      </c>
      <c r="OF7" s="30">
        <f t="shared" si="107"/>
        <v>70.356012658227854</v>
      </c>
      <c r="OG7" s="30">
        <f t="shared" si="107"/>
        <v>70.557133838383834</v>
      </c>
      <c r="OH7" s="30">
        <f t="shared" si="107"/>
        <v>70.599811083123427</v>
      </c>
      <c r="OI7" s="30">
        <f t="shared" si="107"/>
        <v>70.712939698492463</v>
      </c>
      <c r="OJ7" s="30">
        <f t="shared" si="107"/>
        <v>70.76284461152882</v>
      </c>
      <c r="OK7" s="30">
        <f t="shared" si="107"/>
        <v>70.671875</v>
      </c>
      <c r="OL7" s="30">
        <f t="shared" si="107"/>
        <v>70.854114713216958</v>
      </c>
      <c r="OM7" s="30">
        <f t="shared" si="107"/>
        <v>71.050995024875618</v>
      </c>
      <c r="ON7" s="30">
        <f t="shared" si="107"/>
        <v>71.084057071960288</v>
      </c>
      <c r="OO7" s="30">
        <f t="shared" si="107"/>
        <v>71.178836633663366</v>
      </c>
      <c r="OP7" s="30">
        <f t="shared" si="107"/>
        <v>71.381172839506164</v>
      </c>
      <c r="OQ7" s="30">
        <f t="shared" si="107"/>
        <v>71.443965517241381</v>
      </c>
      <c r="OR7" s="30">
        <f t="shared" si="107"/>
        <v>71.683046683046683</v>
      </c>
      <c r="OS7" s="30">
        <f t="shared" si="107"/>
        <v>71.706495098039213</v>
      </c>
      <c r="OT7" s="30">
        <f t="shared" si="107"/>
        <v>71.699266503667474</v>
      </c>
      <c r="OU7" s="30">
        <f t="shared" si="107"/>
        <v>71.783536585365866</v>
      </c>
      <c r="OV7" s="30">
        <f t="shared" si="107"/>
        <v>72.141119221411188</v>
      </c>
      <c r="OW7" s="30">
        <f t="shared" si="107"/>
        <v>72.246662621359221</v>
      </c>
      <c r="OX7" s="30">
        <f t="shared" si="107"/>
        <v>72.472760290556906</v>
      </c>
      <c r="OY7" s="93"/>
      <c r="OZ7" s="94"/>
      <c r="PA7" s="94"/>
      <c r="PB7" s="18" t="s">
        <v>17</v>
      </c>
      <c r="PC7" s="25" t="s">
        <v>18</v>
      </c>
    </row>
    <row r="8" spans="1:419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93"/>
      <c r="OZ8" s="94"/>
      <c r="PA8" s="94"/>
    </row>
    <row r="9" spans="1:419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93"/>
      <c r="OZ9" s="94"/>
      <c r="PA9" s="94"/>
    </row>
    <row r="10" spans="1:419" ht="14.4" customHeight="1" x14ac:dyDescent="0.3">
      <c r="BD10" s="19" t="s">
        <v>45</v>
      </c>
      <c r="OY10" s="29"/>
      <c r="OZ10" s="29"/>
      <c r="PA10" s="29"/>
    </row>
  </sheetData>
  <mergeCells count="1">
    <mergeCell ref="OY1:PA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X16"/>
  <sheetViews>
    <sheetView workbookViewId="0">
      <pane xSplit="1" topLeftCell="AYI1" activePane="topRight" state="frozen"/>
      <selection activeCell="A2" sqref="A2"/>
      <selection pane="topRight" activeCell="AYT1" sqref="AYT1:AYV1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345" width="10.44140625" customWidth="1"/>
    <col min="1346" max="1348" width="8.88671875" customWidth="1"/>
    <col min="1349" max="1349" width="29.88671875" bestFit="1" customWidth="1"/>
    <col min="1350" max="1350" width="16.33203125" bestFit="1" customWidth="1"/>
  </cols>
  <sheetData>
    <row r="1" spans="1:1350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86">
        <v>1323</v>
      </c>
      <c r="ATQ1" s="42">
        <v>1324</v>
      </c>
      <c r="ATR1" s="44">
        <v>1325</v>
      </c>
      <c r="ATS1" s="46">
        <v>1326</v>
      </c>
      <c r="ATT1" s="50">
        <v>1327</v>
      </c>
      <c r="ATU1" s="55">
        <v>1328</v>
      </c>
      <c r="ATV1" s="60">
        <v>1329</v>
      </c>
      <c r="ATW1" s="65">
        <v>1330</v>
      </c>
      <c r="ATX1" s="70">
        <v>1331</v>
      </c>
      <c r="ATY1" s="74">
        <v>1332</v>
      </c>
      <c r="ATZ1" s="78">
        <v>1333</v>
      </c>
      <c r="AUA1" s="82">
        <v>1334</v>
      </c>
      <c r="AUB1" s="38">
        <v>1335</v>
      </c>
      <c r="AUC1" s="34">
        <v>1336</v>
      </c>
      <c r="AUD1" s="34">
        <v>1337</v>
      </c>
      <c r="AUE1" s="34">
        <v>1338</v>
      </c>
      <c r="AUF1" s="34">
        <v>1339</v>
      </c>
      <c r="AUG1" s="34">
        <v>1340</v>
      </c>
      <c r="AUH1" s="34">
        <v>1341</v>
      </c>
      <c r="AUI1" s="34">
        <v>1342</v>
      </c>
      <c r="AUJ1" s="34">
        <v>1343</v>
      </c>
      <c r="AUK1" s="34">
        <v>1344</v>
      </c>
      <c r="AUL1" s="34">
        <v>1345</v>
      </c>
      <c r="AUM1" s="34">
        <v>1346</v>
      </c>
      <c r="AUN1" s="34">
        <v>1347</v>
      </c>
      <c r="AUO1" s="34">
        <v>1348</v>
      </c>
      <c r="AUP1" s="34">
        <v>1349</v>
      </c>
      <c r="AUQ1" s="34">
        <v>1350</v>
      </c>
      <c r="AUR1" s="34">
        <v>1351</v>
      </c>
      <c r="AUS1" s="34">
        <v>1352</v>
      </c>
      <c r="AUT1" s="34">
        <v>1353</v>
      </c>
      <c r="AUU1" s="34">
        <v>1354</v>
      </c>
      <c r="AUV1" s="34">
        <v>1355</v>
      </c>
      <c r="AUW1" s="34">
        <v>1356</v>
      </c>
      <c r="AUX1" s="34">
        <v>1357</v>
      </c>
      <c r="AUY1" s="34">
        <v>1358</v>
      </c>
      <c r="AUZ1" s="34">
        <v>1359</v>
      </c>
      <c r="AVA1" s="34">
        <v>1360</v>
      </c>
      <c r="AVB1" s="34">
        <v>1361</v>
      </c>
      <c r="AVC1" s="34">
        <v>1362</v>
      </c>
      <c r="AVD1" s="34">
        <v>1363</v>
      </c>
      <c r="AVE1" s="34">
        <v>1364</v>
      </c>
      <c r="AVF1" s="34">
        <v>1365</v>
      </c>
      <c r="AVG1" s="34">
        <v>1366</v>
      </c>
      <c r="AVH1" s="34">
        <v>1367</v>
      </c>
      <c r="AVI1" s="34">
        <v>1368</v>
      </c>
      <c r="AVJ1" s="34">
        <v>1369</v>
      </c>
      <c r="AVK1" s="34">
        <v>1370</v>
      </c>
      <c r="AVL1" s="34">
        <v>1371</v>
      </c>
      <c r="AVM1" s="34">
        <v>1372</v>
      </c>
      <c r="AVN1" s="34">
        <v>1373</v>
      </c>
      <c r="AVO1" s="34">
        <v>1374</v>
      </c>
      <c r="AVP1" s="34">
        <v>1375</v>
      </c>
      <c r="AVQ1" s="34">
        <v>1376</v>
      </c>
      <c r="AVR1" s="34">
        <v>1377</v>
      </c>
      <c r="AVS1" s="34">
        <v>1378</v>
      </c>
      <c r="AVT1" s="34">
        <v>1379</v>
      </c>
      <c r="AVU1" s="34">
        <v>1380</v>
      </c>
      <c r="AVV1" s="34">
        <v>1381</v>
      </c>
      <c r="AVW1" s="34">
        <v>1382</v>
      </c>
      <c r="AVX1" s="34">
        <v>1383</v>
      </c>
      <c r="AVY1" s="34">
        <v>1384</v>
      </c>
      <c r="AVZ1" s="34">
        <v>1385</v>
      </c>
      <c r="AWA1" s="34">
        <v>1386</v>
      </c>
      <c r="AWB1" s="34">
        <v>1387</v>
      </c>
      <c r="AWC1" s="34">
        <v>1388</v>
      </c>
      <c r="AWD1" s="34">
        <v>1389</v>
      </c>
      <c r="AWE1" s="34">
        <v>1390</v>
      </c>
      <c r="AWF1" s="34">
        <v>1391</v>
      </c>
      <c r="AWG1" s="34">
        <v>1392</v>
      </c>
      <c r="AWH1" s="34">
        <v>1393</v>
      </c>
      <c r="AWI1" s="34">
        <v>1394</v>
      </c>
      <c r="AWJ1" s="34">
        <v>1395</v>
      </c>
      <c r="AWK1" s="34">
        <v>1396</v>
      </c>
      <c r="AWL1" s="34">
        <v>1397</v>
      </c>
      <c r="AWM1" s="34">
        <v>1398</v>
      </c>
      <c r="AWN1" s="34">
        <v>1399</v>
      </c>
      <c r="AWO1" s="34">
        <v>1400</v>
      </c>
      <c r="AWP1" s="34">
        <v>1401</v>
      </c>
      <c r="AWQ1" s="34">
        <v>1402</v>
      </c>
      <c r="AWR1" s="34">
        <v>1403</v>
      </c>
      <c r="AWS1" s="34">
        <v>1404</v>
      </c>
      <c r="AWT1" s="34">
        <v>1405</v>
      </c>
      <c r="AWU1" s="34">
        <v>1406</v>
      </c>
      <c r="AWV1" s="34">
        <v>1407</v>
      </c>
      <c r="AWW1" s="34">
        <v>1408</v>
      </c>
      <c r="AWX1" s="34">
        <v>1409</v>
      </c>
      <c r="AWY1" s="34">
        <v>1410</v>
      </c>
      <c r="AWZ1" s="34">
        <v>1411</v>
      </c>
      <c r="AXA1" s="34">
        <v>1412</v>
      </c>
      <c r="AXB1" s="34">
        <v>1413</v>
      </c>
      <c r="AXC1" s="34">
        <v>1414</v>
      </c>
      <c r="AXD1" s="34">
        <v>1415</v>
      </c>
      <c r="AXE1" s="34">
        <v>1416</v>
      </c>
      <c r="AXF1" s="34">
        <v>1417</v>
      </c>
      <c r="AXG1" s="34">
        <v>1418</v>
      </c>
      <c r="AXH1" s="34">
        <v>1419</v>
      </c>
      <c r="AXI1" s="34">
        <v>1420</v>
      </c>
      <c r="AXJ1" s="34">
        <v>1421</v>
      </c>
      <c r="AXK1" s="34">
        <v>1422</v>
      </c>
      <c r="AXL1" s="34">
        <v>1423</v>
      </c>
      <c r="AXM1" s="34">
        <v>1424</v>
      </c>
      <c r="AXN1" s="34">
        <v>1425</v>
      </c>
      <c r="AXO1" s="34">
        <v>1426</v>
      </c>
      <c r="AXP1" s="34">
        <v>1427</v>
      </c>
      <c r="AXQ1" s="34">
        <v>1428</v>
      </c>
      <c r="AXR1" s="34">
        <v>1429</v>
      </c>
      <c r="AXS1" s="34">
        <v>1430</v>
      </c>
      <c r="AXT1" s="34">
        <v>1431</v>
      </c>
      <c r="AXU1" s="34">
        <v>1432</v>
      </c>
      <c r="AXV1" s="34">
        <v>1433</v>
      </c>
      <c r="AXW1" s="34">
        <v>1434</v>
      </c>
      <c r="AXX1" s="34">
        <v>1435</v>
      </c>
      <c r="AXY1" s="34">
        <v>1436</v>
      </c>
      <c r="AXZ1" s="34">
        <v>1437</v>
      </c>
      <c r="AYA1" s="34">
        <v>1438</v>
      </c>
      <c r="AYB1" s="34">
        <v>1439</v>
      </c>
      <c r="AYC1" s="34">
        <v>1440</v>
      </c>
      <c r="AYD1" s="34">
        <v>1441</v>
      </c>
      <c r="AYE1" s="34">
        <v>1442</v>
      </c>
      <c r="AYF1" s="34">
        <v>1443</v>
      </c>
      <c r="AYG1" s="34">
        <v>1444</v>
      </c>
      <c r="AYH1" s="34">
        <v>1445</v>
      </c>
      <c r="AYI1" s="34">
        <v>1446</v>
      </c>
      <c r="AYJ1" s="34">
        <v>1447</v>
      </c>
      <c r="AYK1" s="34">
        <v>1448</v>
      </c>
      <c r="AYL1" s="34">
        <v>1449</v>
      </c>
      <c r="AYM1" s="34">
        <v>1450</v>
      </c>
      <c r="AYN1" s="34">
        <v>1451</v>
      </c>
      <c r="AYO1" s="34">
        <v>1452</v>
      </c>
      <c r="AYP1" s="34">
        <v>1453</v>
      </c>
      <c r="AYQ1" s="34">
        <v>1454</v>
      </c>
      <c r="AYR1" s="34">
        <v>1455</v>
      </c>
      <c r="AYS1" s="34">
        <v>1456</v>
      </c>
      <c r="AYT1" s="91" t="s">
        <v>50</v>
      </c>
      <c r="AYU1" s="92"/>
      <c r="AYV1" s="92"/>
      <c r="AYW1" s="18" t="s">
        <v>11</v>
      </c>
      <c r="AYX1" s="7">
        <v>46205.322916666664</v>
      </c>
    </row>
    <row r="2" spans="1:1350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87">
        <v>46133</v>
      </c>
      <c r="ATQ2" s="43">
        <v>46134</v>
      </c>
      <c r="ATR2" s="45">
        <v>46135</v>
      </c>
      <c r="ATS2" s="47">
        <v>46136</v>
      </c>
      <c r="ATT2" s="51">
        <v>46137</v>
      </c>
      <c r="ATU2" s="56">
        <v>46138</v>
      </c>
      <c r="ATV2" s="61">
        <v>46139</v>
      </c>
      <c r="ATW2" s="66">
        <v>46140</v>
      </c>
      <c r="ATX2" s="71">
        <v>46141</v>
      </c>
      <c r="ATY2" s="75">
        <v>46142</v>
      </c>
      <c r="ATZ2" s="79">
        <v>46143</v>
      </c>
      <c r="AUA2" s="83">
        <v>46144</v>
      </c>
      <c r="AUB2" s="39">
        <v>46145</v>
      </c>
      <c r="AUC2" s="6">
        <v>46146</v>
      </c>
      <c r="AUD2" s="6">
        <v>46147</v>
      </c>
      <c r="AUE2" s="6">
        <v>46148</v>
      </c>
      <c r="AUF2" s="6">
        <v>46149</v>
      </c>
      <c r="AUG2" s="6">
        <v>46150</v>
      </c>
      <c r="AUH2" s="6">
        <v>46151</v>
      </c>
      <c r="AUI2" s="6">
        <v>46152</v>
      </c>
      <c r="AUJ2" s="6">
        <v>46153</v>
      </c>
      <c r="AUK2" s="6">
        <v>46154</v>
      </c>
      <c r="AUL2" s="6">
        <v>46155</v>
      </c>
      <c r="AUM2" s="6">
        <v>46156</v>
      </c>
      <c r="AUN2" s="6">
        <v>46157</v>
      </c>
      <c r="AUO2" s="6">
        <v>46158</v>
      </c>
      <c r="AUP2" s="6">
        <v>46159</v>
      </c>
      <c r="AUQ2" s="6">
        <v>46160</v>
      </c>
      <c r="AUR2" s="6">
        <v>46161</v>
      </c>
      <c r="AUS2" s="6">
        <v>46162</v>
      </c>
      <c r="AUT2" s="6">
        <v>46163</v>
      </c>
      <c r="AUU2" s="6">
        <v>46164</v>
      </c>
      <c r="AUV2" s="6">
        <v>46165</v>
      </c>
      <c r="AUW2" s="6">
        <v>46166</v>
      </c>
      <c r="AUX2" s="6">
        <v>46167</v>
      </c>
      <c r="AUY2" s="6">
        <v>46168</v>
      </c>
      <c r="AUZ2" s="6">
        <v>46169</v>
      </c>
      <c r="AVA2" s="6">
        <v>46170</v>
      </c>
      <c r="AVB2" s="6">
        <v>46171</v>
      </c>
      <c r="AVC2" s="6">
        <v>46172</v>
      </c>
      <c r="AVD2" s="6">
        <v>46173</v>
      </c>
      <c r="AVE2" s="6">
        <v>46174</v>
      </c>
      <c r="AVF2" s="6">
        <v>46175</v>
      </c>
      <c r="AVG2" s="6">
        <v>46176</v>
      </c>
      <c r="AVH2" s="6">
        <v>46177</v>
      </c>
      <c r="AVI2" s="6">
        <v>46178</v>
      </c>
      <c r="AVJ2" s="6">
        <v>46179</v>
      </c>
      <c r="AVK2" s="6">
        <v>46180</v>
      </c>
      <c r="AVL2" s="6">
        <v>46181</v>
      </c>
      <c r="AVM2" s="6">
        <v>46182</v>
      </c>
      <c r="AVN2" s="6">
        <v>46183</v>
      </c>
      <c r="AVO2" s="6">
        <v>46184</v>
      </c>
      <c r="AVP2" s="6">
        <v>46185</v>
      </c>
      <c r="AVQ2" s="6">
        <v>46186</v>
      </c>
      <c r="AVR2" s="6">
        <v>46187</v>
      </c>
      <c r="AVS2" s="6">
        <v>46188</v>
      </c>
      <c r="AVT2" s="6">
        <v>46189</v>
      </c>
      <c r="AVU2" s="6">
        <v>46190</v>
      </c>
      <c r="AVV2" s="6">
        <v>46191</v>
      </c>
      <c r="AVW2" s="6">
        <v>46192</v>
      </c>
      <c r="AVX2" s="6">
        <v>46193</v>
      </c>
      <c r="AVY2" s="6">
        <v>46194</v>
      </c>
      <c r="AVZ2" s="6">
        <v>46195</v>
      </c>
      <c r="AWA2" s="6">
        <v>46196</v>
      </c>
      <c r="AWB2" s="6">
        <v>46197</v>
      </c>
      <c r="AWC2" s="6">
        <v>46198</v>
      </c>
      <c r="AWD2" s="6">
        <v>46199</v>
      </c>
      <c r="AWE2" s="6">
        <v>46200</v>
      </c>
      <c r="AWF2" s="6">
        <v>46201</v>
      </c>
      <c r="AWG2" s="6">
        <v>46202</v>
      </c>
      <c r="AWH2" s="6">
        <v>46203</v>
      </c>
      <c r="AWI2" s="6">
        <v>46204</v>
      </c>
      <c r="AWJ2" s="6">
        <v>46205</v>
      </c>
      <c r="AWK2" s="6">
        <v>46206</v>
      </c>
      <c r="AWL2" s="6">
        <v>46207</v>
      </c>
      <c r="AWM2" s="6">
        <v>46208</v>
      </c>
      <c r="AWN2" s="6">
        <v>46209</v>
      </c>
      <c r="AWO2" s="6">
        <v>46210</v>
      </c>
      <c r="AWP2" s="6">
        <v>46211</v>
      </c>
      <c r="AWQ2" s="6">
        <v>46212</v>
      </c>
      <c r="AWR2" s="6">
        <v>46213</v>
      </c>
      <c r="AWS2" s="6">
        <v>46214</v>
      </c>
      <c r="AWT2" s="6">
        <v>46215</v>
      </c>
      <c r="AWU2" s="6">
        <v>46216</v>
      </c>
      <c r="AWV2" s="6">
        <v>46217</v>
      </c>
      <c r="AWW2" s="6">
        <v>46218</v>
      </c>
      <c r="AWX2" s="6">
        <v>46219</v>
      </c>
      <c r="AWY2" s="6">
        <v>46220</v>
      </c>
      <c r="AWZ2" s="6">
        <v>46221</v>
      </c>
      <c r="AXA2" s="6">
        <v>46222</v>
      </c>
      <c r="AXB2" s="6">
        <v>46223</v>
      </c>
      <c r="AXC2" s="6">
        <v>46224</v>
      </c>
      <c r="AXD2" s="6">
        <v>46225</v>
      </c>
      <c r="AXE2" s="6">
        <v>46226</v>
      </c>
      <c r="AXF2" s="6">
        <v>46227</v>
      </c>
      <c r="AXG2" s="6">
        <v>46228</v>
      </c>
      <c r="AXH2" s="6">
        <v>46229</v>
      </c>
      <c r="AXI2" s="6">
        <v>46230</v>
      </c>
      <c r="AXJ2" s="6">
        <v>46231</v>
      </c>
      <c r="AXK2" s="6">
        <v>46232</v>
      </c>
      <c r="AXL2" s="6">
        <v>46233</v>
      </c>
      <c r="AXM2" s="6">
        <v>46234</v>
      </c>
      <c r="AXN2" s="6">
        <v>46235</v>
      </c>
      <c r="AXO2" s="6">
        <v>46236</v>
      </c>
      <c r="AXP2" s="6">
        <v>46237</v>
      </c>
      <c r="AXQ2" s="6">
        <v>46238</v>
      </c>
      <c r="AXR2" s="6">
        <v>46239</v>
      </c>
      <c r="AXS2" s="6">
        <v>46240</v>
      </c>
      <c r="AXT2" s="6">
        <v>46241</v>
      </c>
      <c r="AXU2" s="6">
        <v>46242</v>
      </c>
      <c r="AXV2" s="6">
        <v>46243</v>
      </c>
      <c r="AXW2" s="6">
        <v>46244</v>
      </c>
      <c r="AXX2" s="6">
        <v>46245</v>
      </c>
      <c r="AXY2" s="6">
        <v>46246</v>
      </c>
      <c r="AXZ2" s="6">
        <v>46247</v>
      </c>
      <c r="AYA2" s="6">
        <v>46248</v>
      </c>
      <c r="AYB2" s="6">
        <v>46249</v>
      </c>
      <c r="AYC2" s="6">
        <v>46250</v>
      </c>
      <c r="AYD2" s="6">
        <v>46251</v>
      </c>
      <c r="AYE2" s="6">
        <v>46252</v>
      </c>
      <c r="AYF2" s="6">
        <v>46253</v>
      </c>
      <c r="AYG2" s="6">
        <v>46254</v>
      </c>
      <c r="AYH2" s="6">
        <v>46255</v>
      </c>
      <c r="AYI2" s="6">
        <v>46256</v>
      </c>
      <c r="AYJ2" s="6">
        <v>46257</v>
      </c>
      <c r="AYK2" s="6">
        <v>46258</v>
      </c>
      <c r="AYL2" s="6">
        <v>46259</v>
      </c>
      <c r="AYM2" s="6">
        <v>46260</v>
      </c>
      <c r="AYN2" s="6">
        <v>46261</v>
      </c>
      <c r="AYO2" s="6">
        <v>46262</v>
      </c>
      <c r="AYP2" s="6">
        <v>46263</v>
      </c>
      <c r="AYQ2" s="6">
        <v>46264</v>
      </c>
      <c r="AYR2" s="6">
        <v>46265</v>
      </c>
      <c r="AYS2" s="6">
        <v>46266</v>
      </c>
      <c r="AYT2" s="93"/>
      <c r="AYU2" s="94"/>
      <c r="AYV2" s="94"/>
      <c r="AYW2" s="18" t="s">
        <v>23</v>
      </c>
      <c r="AYX2" s="8">
        <f ca="1">((NOW()-AYX1)*24)</f>
        <v>1497.6172111111809</v>
      </c>
    </row>
    <row r="3" spans="1:1350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88" t="s">
        <v>2</v>
      </c>
      <c r="ATQ3" s="25" t="s">
        <v>3</v>
      </c>
      <c r="ATR3" s="4" t="s">
        <v>4</v>
      </c>
      <c r="ATS3" s="48" t="s">
        <v>5</v>
      </c>
      <c r="ATT3" s="52" t="s">
        <v>6</v>
      </c>
      <c r="ATU3" s="57" t="s">
        <v>0</v>
      </c>
      <c r="ATV3" s="62" t="s">
        <v>1</v>
      </c>
      <c r="ATW3" s="67" t="s">
        <v>2</v>
      </c>
      <c r="ATX3" s="72" t="s">
        <v>3</v>
      </c>
      <c r="ATY3" s="76" t="s">
        <v>4</v>
      </c>
      <c r="ATZ3" s="80" t="s">
        <v>5</v>
      </c>
      <c r="AUA3" s="84" t="s">
        <v>6</v>
      </c>
      <c r="AUB3" s="40" t="s">
        <v>0</v>
      </c>
      <c r="AUC3" s="5" t="s">
        <v>1</v>
      </c>
      <c r="AUD3" s="5" t="s">
        <v>2</v>
      </c>
      <c r="AUE3" s="5" t="s">
        <v>3</v>
      </c>
      <c r="AUF3" s="5" t="s">
        <v>4</v>
      </c>
      <c r="AUG3" s="5" t="s">
        <v>5</v>
      </c>
      <c r="AUH3" s="5" t="s">
        <v>6</v>
      </c>
      <c r="AUI3" s="5" t="s">
        <v>0</v>
      </c>
      <c r="AUJ3" s="5" t="s">
        <v>1</v>
      </c>
      <c r="AUK3" s="5" t="s">
        <v>2</v>
      </c>
      <c r="AUL3" s="5" t="s">
        <v>3</v>
      </c>
      <c r="AUM3" s="5" t="s">
        <v>4</v>
      </c>
      <c r="AUN3" s="5" t="s">
        <v>5</v>
      </c>
      <c r="AUO3" s="5" t="s">
        <v>6</v>
      </c>
      <c r="AUP3" s="5" t="s">
        <v>0</v>
      </c>
      <c r="AUQ3" s="5" t="s">
        <v>1</v>
      </c>
      <c r="AUR3" s="5" t="s">
        <v>2</v>
      </c>
      <c r="AUS3" s="5" t="s">
        <v>3</v>
      </c>
      <c r="AUT3" s="5" t="s">
        <v>4</v>
      </c>
      <c r="AUU3" s="5" t="s">
        <v>5</v>
      </c>
      <c r="AUV3" s="5" t="s">
        <v>6</v>
      </c>
      <c r="AUW3" s="5" t="s">
        <v>0</v>
      </c>
      <c r="AUX3" s="5" t="s">
        <v>1</v>
      </c>
      <c r="AUY3" s="5" t="s">
        <v>2</v>
      </c>
      <c r="AUZ3" s="5" t="s">
        <v>3</v>
      </c>
      <c r="AVA3" s="5" t="s">
        <v>4</v>
      </c>
      <c r="AVB3" s="5" t="s">
        <v>5</v>
      </c>
      <c r="AVC3" s="5" t="s">
        <v>6</v>
      </c>
      <c r="AVD3" s="5" t="s">
        <v>0</v>
      </c>
      <c r="AVE3" s="5" t="s">
        <v>1</v>
      </c>
      <c r="AVF3" s="5" t="s">
        <v>2</v>
      </c>
      <c r="AVG3" s="5" t="s">
        <v>3</v>
      </c>
      <c r="AVH3" s="5" t="s">
        <v>4</v>
      </c>
      <c r="AVI3" s="5" t="s">
        <v>5</v>
      </c>
      <c r="AVJ3" s="5" t="s">
        <v>6</v>
      </c>
      <c r="AVK3" s="5" t="s">
        <v>0</v>
      </c>
      <c r="AVL3" s="5" t="s">
        <v>1</v>
      </c>
      <c r="AVM3" s="5" t="s">
        <v>2</v>
      </c>
      <c r="AVN3" s="5" t="s">
        <v>3</v>
      </c>
      <c r="AVO3" s="5" t="s">
        <v>4</v>
      </c>
      <c r="AVP3" s="5" t="s">
        <v>5</v>
      </c>
      <c r="AVQ3" s="5" t="s">
        <v>6</v>
      </c>
      <c r="AVR3" s="5" t="s">
        <v>0</v>
      </c>
      <c r="AVS3" s="5" t="s">
        <v>1</v>
      </c>
      <c r="AVT3" s="5" t="s">
        <v>2</v>
      </c>
      <c r="AVU3" s="5" t="s">
        <v>3</v>
      </c>
      <c r="AVV3" s="5" t="s">
        <v>4</v>
      </c>
      <c r="AVW3" s="5" t="s">
        <v>5</v>
      </c>
      <c r="AVX3" s="5" t="s">
        <v>6</v>
      </c>
      <c r="AVY3" s="5" t="s">
        <v>0</v>
      </c>
      <c r="AVZ3" s="5" t="s">
        <v>1</v>
      </c>
      <c r="AWA3" s="5" t="s">
        <v>2</v>
      </c>
      <c r="AWB3" s="5" t="s">
        <v>3</v>
      </c>
      <c r="AWC3" s="5" t="s">
        <v>4</v>
      </c>
      <c r="AWD3" s="5" t="s">
        <v>5</v>
      </c>
      <c r="AWE3" s="5" t="s">
        <v>6</v>
      </c>
      <c r="AWF3" s="5" t="s">
        <v>0</v>
      </c>
      <c r="AWG3" s="5" t="s">
        <v>1</v>
      </c>
      <c r="AWH3" s="5" t="s">
        <v>2</v>
      </c>
      <c r="AWI3" s="5" t="s">
        <v>3</v>
      </c>
      <c r="AWJ3" s="5" t="s">
        <v>4</v>
      </c>
      <c r="AWK3" s="5" t="s">
        <v>5</v>
      </c>
      <c r="AWL3" s="5" t="s">
        <v>6</v>
      </c>
      <c r="AWM3" s="5" t="s">
        <v>0</v>
      </c>
      <c r="AWN3" s="5" t="s">
        <v>1</v>
      </c>
      <c r="AWO3" s="5" t="s">
        <v>2</v>
      </c>
      <c r="AWP3" s="5" t="s">
        <v>3</v>
      </c>
      <c r="AWQ3" s="5" t="s">
        <v>4</v>
      </c>
      <c r="AWR3" s="5" t="s">
        <v>5</v>
      </c>
      <c r="AWS3" s="5" t="s">
        <v>6</v>
      </c>
      <c r="AWT3" s="5" t="s">
        <v>0</v>
      </c>
      <c r="AWU3" s="5" t="s">
        <v>1</v>
      </c>
      <c r="AWV3" s="5" t="s">
        <v>2</v>
      </c>
      <c r="AWW3" s="5" t="s">
        <v>3</v>
      </c>
      <c r="AWX3" s="5" t="s">
        <v>4</v>
      </c>
      <c r="AWY3" s="5" t="s">
        <v>5</v>
      </c>
      <c r="AWZ3" s="5" t="s">
        <v>6</v>
      </c>
      <c r="AXA3" s="5" t="s">
        <v>0</v>
      </c>
      <c r="AXB3" s="5" t="s">
        <v>1</v>
      </c>
      <c r="AXC3" s="5" t="s">
        <v>2</v>
      </c>
      <c r="AXD3" s="5" t="s">
        <v>3</v>
      </c>
      <c r="AXE3" s="5" t="s">
        <v>4</v>
      </c>
      <c r="AXF3" s="5" t="s">
        <v>5</v>
      </c>
      <c r="AXG3" s="5" t="s">
        <v>6</v>
      </c>
      <c r="AXH3" s="5" t="s">
        <v>0</v>
      </c>
      <c r="AXI3" s="5" t="s">
        <v>1</v>
      </c>
      <c r="AXJ3" s="5" t="s">
        <v>2</v>
      </c>
      <c r="AXK3" s="5" t="s">
        <v>3</v>
      </c>
      <c r="AXL3" s="5" t="s">
        <v>4</v>
      </c>
      <c r="AXM3" s="5" t="s">
        <v>5</v>
      </c>
      <c r="AXN3" s="5" t="s">
        <v>6</v>
      </c>
      <c r="AXO3" s="5" t="s">
        <v>0</v>
      </c>
      <c r="AXP3" s="5" t="s">
        <v>1</v>
      </c>
      <c r="AXQ3" s="5" t="s">
        <v>2</v>
      </c>
      <c r="AXR3" s="5" t="s">
        <v>3</v>
      </c>
      <c r="AXS3" s="5" t="s">
        <v>4</v>
      </c>
      <c r="AXT3" s="5" t="s">
        <v>5</v>
      </c>
      <c r="AXU3" s="5" t="s">
        <v>6</v>
      </c>
      <c r="AXV3" s="5" t="s">
        <v>0</v>
      </c>
      <c r="AXW3" s="5" t="s">
        <v>1</v>
      </c>
      <c r="AXX3" s="5" t="s">
        <v>2</v>
      </c>
      <c r="AXY3" s="5" t="s">
        <v>3</v>
      </c>
      <c r="AXZ3" s="5" t="s">
        <v>4</v>
      </c>
      <c r="AYA3" s="5" t="s">
        <v>5</v>
      </c>
      <c r="AYB3" s="5" t="s">
        <v>6</v>
      </c>
      <c r="AYC3" s="5" t="s">
        <v>0</v>
      </c>
      <c r="AYD3" s="5" t="s">
        <v>1</v>
      </c>
      <c r="AYE3" s="5" t="s">
        <v>2</v>
      </c>
      <c r="AYF3" s="5" t="s">
        <v>3</v>
      </c>
      <c r="AYG3" s="5" t="s">
        <v>4</v>
      </c>
      <c r="AYH3" s="5" t="s">
        <v>5</v>
      </c>
      <c r="AYI3" s="5" t="s">
        <v>6</v>
      </c>
      <c r="AYJ3" s="5" t="s">
        <v>0</v>
      </c>
      <c r="AYK3" s="5" t="s">
        <v>1</v>
      </c>
      <c r="AYL3" s="5" t="s">
        <v>2</v>
      </c>
      <c r="AYM3" s="5" t="s">
        <v>3</v>
      </c>
      <c r="AYN3" s="5" t="s">
        <v>4</v>
      </c>
      <c r="AYO3" s="5" t="s">
        <v>5</v>
      </c>
      <c r="AYP3" s="5" t="s">
        <v>6</v>
      </c>
      <c r="AYQ3" s="5" t="s">
        <v>0</v>
      </c>
      <c r="AYR3" s="5" t="s">
        <v>1</v>
      </c>
      <c r="AYS3" s="5" t="s">
        <v>2</v>
      </c>
      <c r="AYT3" s="93"/>
      <c r="AYU3" s="94"/>
      <c r="AYV3" s="94"/>
      <c r="AYW3" s="18" t="s">
        <v>10</v>
      </c>
      <c r="AYX3" s="10">
        <f>($AYX$1+(40/24))</f>
        <v>46206.989583333328</v>
      </c>
    </row>
    <row r="4" spans="1:1350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89">
        <v>7.75</v>
      </c>
      <c r="ATQ4" s="30">
        <v>9.75</v>
      </c>
      <c r="ATR4" s="17">
        <v>8</v>
      </c>
      <c r="ATS4" s="49">
        <v>7</v>
      </c>
      <c r="ATT4" s="53">
        <v>10.5</v>
      </c>
      <c r="ATU4" s="58">
        <v>9.5</v>
      </c>
      <c r="ATV4" s="63">
        <v>0</v>
      </c>
      <c r="ATW4" s="68">
        <v>11.5</v>
      </c>
      <c r="ATX4" s="73">
        <v>5.75</v>
      </c>
      <c r="ATY4" s="77">
        <v>7</v>
      </c>
      <c r="ATZ4" s="81">
        <v>5.5</v>
      </c>
      <c r="AUA4" s="85">
        <v>7.75</v>
      </c>
      <c r="AUB4" s="41">
        <v>4</v>
      </c>
      <c r="AUC4" s="13">
        <v>5.75</v>
      </c>
      <c r="AUD4" s="13">
        <v>8.75</v>
      </c>
      <c r="AUE4" s="13">
        <v>6.5</v>
      </c>
      <c r="AUF4" s="13">
        <v>5.5</v>
      </c>
      <c r="AUG4" s="13">
        <v>5.5</v>
      </c>
      <c r="AUH4" s="13">
        <v>9.75</v>
      </c>
      <c r="AUI4" s="13">
        <v>2.75</v>
      </c>
      <c r="AUJ4" s="13">
        <v>11.5</v>
      </c>
      <c r="AUK4" s="13">
        <v>3.25</v>
      </c>
      <c r="AUL4" s="13">
        <v>13.5</v>
      </c>
      <c r="AUM4" s="13">
        <v>8.25</v>
      </c>
      <c r="AUN4" s="13">
        <v>10</v>
      </c>
      <c r="AUO4" s="13">
        <v>3.5</v>
      </c>
      <c r="AUP4" s="13">
        <v>11.5</v>
      </c>
      <c r="AUQ4" s="13">
        <v>9.25</v>
      </c>
      <c r="AUR4" s="13">
        <v>6.75</v>
      </c>
      <c r="AUS4" s="13">
        <v>8.75</v>
      </c>
      <c r="AUT4" s="13">
        <v>4</v>
      </c>
      <c r="AUU4" s="13">
        <v>4.5</v>
      </c>
      <c r="AUV4" s="13">
        <v>4.5</v>
      </c>
      <c r="AUW4" s="13">
        <v>3</v>
      </c>
      <c r="AUX4" s="13">
        <v>4</v>
      </c>
      <c r="AUY4" s="13">
        <v>0.5</v>
      </c>
      <c r="AUZ4" s="13">
        <v>7.5</v>
      </c>
      <c r="AVA4" s="13">
        <v>3</v>
      </c>
      <c r="AVB4" s="13">
        <v>7.75</v>
      </c>
      <c r="AVC4" s="13">
        <v>12.5</v>
      </c>
      <c r="AVD4" s="13">
        <v>16.5</v>
      </c>
      <c r="AVE4" s="13">
        <v>4.75</v>
      </c>
      <c r="AVF4" s="13">
        <v>10.75</v>
      </c>
      <c r="AVG4" s="13">
        <v>2.5</v>
      </c>
      <c r="AVH4" s="13">
        <v>9.25</v>
      </c>
      <c r="AVI4" s="13">
        <v>6.25</v>
      </c>
      <c r="AVJ4" s="13">
        <v>5.5</v>
      </c>
      <c r="AVK4" s="13">
        <v>3.25</v>
      </c>
      <c r="AVL4" s="13">
        <v>9.5</v>
      </c>
      <c r="AVM4" s="13">
        <v>5</v>
      </c>
      <c r="AVN4" s="13">
        <v>6.75</v>
      </c>
      <c r="AVO4" s="13">
        <v>12.75</v>
      </c>
      <c r="AVP4" s="13">
        <v>2</v>
      </c>
      <c r="AVQ4" s="13">
        <v>6</v>
      </c>
      <c r="AVR4" s="13">
        <v>8.25</v>
      </c>
      <c r="AVS4" s="13">
        <v>11.5</v>
      </c>
      <c r="AVT4" s="13">
        <v>1.75</v>
      </c>
      <c r="AVU4" s="13">
        <v>7.75</v>
      </c>
      <c r="AVV4" s="13">
        <v>3</v>
      </c>
      <c r="AVW4" s="13">
        <v>2.75</v>
      </c>
      <c r="AVX4" s="13">
        <v>8.5</v>
      </c>
      <c r="AVY4" s="13">
        <v>5</v>
      </c>
      <c r="AVZ4" s="13">
        <v>6</v>
      </c>
      <c r="AWA4" s="13">
        <v>4.5</v>
      </c>
      <c r="AWB4" s="13">
        <v>5.75</v>
      </c>
      <c r="AWC4" s="13">
        <v>7.5</v>
      </c>
      <c r="AWD4" s="13">
        <v>5.25</v>
      </c>
      <c r="AWE4" s="13">
        <v>6.75</v>
      </c>
      <c r="AWF4" s="13">
        <v>6.25</v>
      </c>
      <c r="AWG4" s="13">
        <v>6.5</v>
      </c>
      <c r="AWH4" s="13">
        <v>4.5</v>
      </c>
      <c r="AWI4" s="13">
        <v>7</v>
      </c>
      <c r="AWJ4" s="13">
        <v>4.5</v>
      </c>
      <c r="AWK4" s="13">
        <v>10.5</v>
      </c>
      <c r="AWL4" s="13">
        <v>3.75</v>
      </c>
      <c r="AWM4" s="13">
        <v>5.5</v>
      </c>
      <c r="AWN4" s="13">
        <v>8.75</v>
      </c>
      <c r="AWO4" s="13">
        <v>6.5</v>
      </c>
      <c r="AWP4" s="13">
        <v>5.5</v>
      </c>
      <c r="AWQ4" s="13">
        <v>6</v>
      </c>
      <c r="AWR4" s="13">
        <v>7.75</v>
      </c>
      <c r="AWS4" s="13">
        <v>3.5</v>
      </c>
      <c r="AWT4" s="13">
        <v>7.25</v>
      </c>
      <c r="AWU4" s="13">
        <v>5.5</v>
      </c>
      <c r="AWV4" s="13">
        <v>5</v>
      </c>
      <c r="AWW4" s="13">
        <v>3.75</v>
      </c>
      <c r="AWX4" s="13">
        <v>12.5</v>
      </c>
      <c r="AWY4" s="13">
        <v>3</v>
      </c>
      <c r="AWZ4" s="13">
        <v>6.75</v>
      </c>
      <c r="AXA4" s="13">
        <v>7.5</v>
      </c>
      <c r="AXB4" s="13">
        <v>6</v>
      </c>
      <c r="AXC4" s="13">
        <v>11.75</v>
      </c>
      <c r="AXD4" s="13">
        <v>4.5</v>
      </c>
      <c r="AXE4" s="13">
        <v>13</v>
      </c>
      <c r="AXF4" s="13">
        <v>0</v>
      </c>
      <c r="AXG4" s="13">
        <v>6.25</v>
      </c>
      <c r="AXH4" s="13">
        <v>3.75</v>
      </c>
      <c r="AXI4" s="13">
        <v>8</v>
      </c>
      <c r="AXJ4" s="13">
        <v>4.75</v>
      </c>
      <c r="AXK4" s="13">
        <v>8</v>
      </c>
      <c r="AXL4" s="13">
        <v>3</v>
      </c>
      <c r="AXM4" s="13">
        <v>7</v>
      </c>
      <c r="AXN4" s="13">
        <v>0</v>
      </c>
      <c r="AXO4" s="13">
        <v>8.5</v>
      </c>
      <c r="AXP4" s="13">
        <v>5.75</v>
      </c>
      <c r="AXQ4" s="13">
        <v>9.5</v>
      </c>
      <c r="AXR4" s="13">
        <v>0.75</v>
      </c>
      <c r="AXS4" s="13">
        <v>6.25</v>
      </c>
      <c r="AXT4" s="13">
        <v>4.5</v>
      </c>
      <c r="AXU4" s="13">
        <v>5.75</v>
      </c>
      <c r="AXV4" s="13">
        <v>7</v>
      </c>
      <c r="AXW4" s="13">
        <v>5.25</v>
      </c>
      <c r="AXX4" s="13">
        <v>4</v>
      </c>
      <c r="AXY4" s="13">
        <v>8.5</v>
      </c>
      <c r="AXZ4" s="13">
        <v>3.5</v>
      </c>
      <c r="AYA4" s="13">
        <v>7.5</v>
      </c>
      <c r="AYB4" s="13">
        <v>5.5</v>
      </c>
      <c r="AYC4" s="13">
        <v>5</v>
      </c>
      <c r="AYD4" s="13">
        <v>5</v>
      </c>
      <c r="AYE4" s="13">
        <v>3.75</v>
      </c>
      <c r="AYF4" s="13">
        <v>7.75</v>
      </c>
      <c r="AYG4" s="13">
        <v>4</v>
      </c>
      <c r="AYH4" s="13">
        <v>4.5</v>
      </c>
      <c r="AYI4" s="13">
        <v>6.25</v>
      </c>
      <c r="AYJ4" s="13">
        <v>5</v>
      </c>
      <c r="AYK4" s="13">
        <v>3.75</v>
      </c>
      <c r="AYL4" s="13">
        <v>8.5</v>
      </c>
      <c r="AYM4" s="13">
        <v>4.5</v>
      </c>
      <c r="AYN4" s="13">
        <v>7.25</v>
      </c>
      <c r="AYO4" s="13">
        <v>3.25</v>
      </c>
      <c r="AYP4" s="13">
        <v>8.5</v>
      </c>
      <c r="AYQ4" s="13">
        <v>2.5</v>
      </c>
      <c r="AYR4" s="13">
        <v>6.25</v>
      </c>
      <c r="AYS4" s="13">
        <v>3.75</v>
      </c>
      <c r="AYT4" s="93"/>
      <c r="AYU4" s="94"/>
      <c r="AYV4" s="94"/>
      <c r="AYW4" s="18" t="s">
        <v>12</v>
      </c>
      <c r="AYX4" s="11">
        <f>($AYX$1+(68/24))</f>
        <v>46208.15625</v>
      </c>
    </row>
    <row r="5" spans="1:1350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89">
        <f t="shared" si="104"/>
        <v>-2.75</v>
      </c>
      <c r="ATQ5" s="30">
        <f t="shared" si="104"/>
        <v>-4.75</v>
      </c>
      <c r="ATR5" s="17">
        <f t="shared" si="104"/>
        <v>-3</v>
      </c>
      <c r="ATS5" s="23">
        <f t="shared" si="104"/>
        <v>-2</v>
      </c>
      <c r="ATT5" s="54">
        <f t="shared" si="104"/>
        <v>-5.5</v>
      </c>
      <c r="ATU5" s="59">
        <f t="shared" si="104"/>
        <v>-4.5</v>
      </c>
      <c r="ATV5" s="64">
        <f t="shared" si="104"/>
        <v>5</v>
      </c>
      <c r="ATW5" s="69">
        <f t="shared" si="104"/>
        <v>-6.5</v>
      </c>
      <c r="ATX5" s="73">
        <f t="shared" ref="ATX5:AUB5" si="105">(5-ATX4)</f>
        <v>-0.75</v>
      </c>
      <c r="ATY5" s="77">
        <f t="shared" si="105"/>
        <v>-2</v>
      </c>
      <c r="ATZ5" s="81">
        <f t="shared" si="105"/>
        <v>-0.5</v>
      </c>
      <c r="AUA5" s="85">
        <f t="shared" si="105"/>
        <v>-2.75</v>
      </c>
      <c r="AUB5" s="41">
        <f t="shared" si="105"/>
        <v>1</v>
      </c>
      <c r="AUC5" s="13">
        <f t="shared" ref="AUC5:AUH5" si="106">(5-AUC4)</f>
        <v>-0.75</v>
      </c>
      <c r="AUD5" s="13">
        <f t="shared" si="106"/>
        <v>-3.75</v>
      </c>
      <c r="AUE5" s="13">
        <f t="shared" si="106"/>
        <v>-1.5</v>
      </c>
      <c r="AUF5" s="13">
        <f t="shared" si="106"/>
        <v>-0.5</v>
      </c>
      <c r="AUG5" s="13">
        <f t="shared" si="106"/>
        <v>-0.5</v>
      </c>
      <c r="AUH5" s="13">
        <f t="shared" si="106"/>
        <v>-4.75</v>
      </c>
      <c r="AUI5" s="13">
        <f t="shared" ref="AUI5:AUN5" si="107">(5-AUI4)</f>
        <v>2.25</v>
      </c>
      <c r="AUJ5" s="13">
        <f t="shared" si="107"/>
        <v>-6.5</v>
      </c>
      <c r="AUK5" s="13">
        <f t="shared" si="107"/>
        <v>1.75</v>
      </c>
      <c r="AUL5" s="13">
        <f t="shared" si="107"/>
        <v>-8.5</v>
      </c>
      <c r="AUM5" s="13">
        <f t="shared" si="107"/>
        <v>-3.25</v>
      </c>
      <c r="AUN5" s="13">
        <f t="shared" si="107"/>
        <v>-5</v>
      </c>
      <c r="AUO5" s="13">
        <f t="shared" ref="AUO5:AUQ5" si="108">(5-AUO4)</f>
        <v>1.5</v>
      </c>
      <c r="AUP5" s="13">
        <f t="shared" si="108"/>
        <v>-6.5</v>
      </c>
      <c r="AUQ5" s="13">
        <f t="shared" si="108"/>
        <v>-4.25</v>
      </c>
      <c r="AUR5" s="13">
        <f t="shared" ref="AUR5:AUW5" si="109">(5-AUR4)</f>
        <v>-1.75</v>
      </c>
      <c r="AUS5" s="13">
        <f t="shared" si="109"/>
        <v>-3.75</v>
      </c>
      <c r="AUT5" s="13">
        <f t="shared" si="109"/>
        <v>1</v>
      </c>
      <c r="AUU5" s="13">
        <f t="shared" si="109"/>
        <v>0.5</v>
      </c>
      <c r="AUV5" s="13">
        <f t="shared" si="109"/>
        <v>0.5</v>
      </c>
      <c r="AUW5" s="13">
        <f t="shared" si="109"/>
        <v>2</v>
      </c>
      <c r="AUX5" s="13">
        <f t="shared" ref="AUX5:AUZ5" si="110">(5-AUX4)</f>
        <v>1</v>
      </c>
      <c r="AUY5" s="13">
        <f t="shared" si="110"/>
        <v>4.5</v>
      </c>
      <c r="AUZ5" s="13">
        <f t="shared" si="110"/>
        <v>-2.5</v>
      </c>
      <c r="AVA5" s="13">
        <f t="shared" ref="AVA5:AVC5" si="111">(5-AVA4)</f>
        <v>2</v>
      </c>
      <c r="AVB5" s="13">
        <f t="shared" si="111"/>
        <v>-2.75</v>
      </c>
      <c r="AVC5" s="13">
        <f t="shared" si="111"/>
        <v>-7.5</v>
      </c>
      <c r="AVD5" s="13">
        <f t="shared" ref="AVD5:AVL5" si="112">(5-AVD4)</f>
        <v>-11.5</v>
      </c>
      <c r="AVE5" s="13">
        <f t="shared" si="112"/>
        <v>0.25</v>
      </c>
      <c r="AVF5" s="13">
        <f t="shared" si="112"/>
        <v>-5.75</v>
      </c>
      <c r="AVG5" s="13">
        <f t="shared" si="112"/>
        <v>2.5</v>
      </c>
      <c r="AVH5" s="13">
        <f t="shared" si="112"/>
        <v>-4.25</v>
      </c>
      <c r="AVI5" s="13">
        <f t="shared" si="112"/>
        <v>-1.25</v>
      </c>
      <c r="AVJ5" s="13">
        <f t="shared" si="112"/>
        <v>-0.5</v>
      </c>
      <c r="AVK5" s="13">
        <f t="shared" si="112"/>
        <v>1.75</v>
      </c>
      <c r="AVL5" s="13">
        <f t="shared" si="112"/>
        <v>-4.5</v>
      </c>
      <c r="AVM5" s="13">
        <f t="shared" ref="AVM5:AVR5" si="113">(5-AVM4)</f>
        <v>0</v>
      </c>
      <c r="AVN5" s="13">
        <f t="shared" si="113"/>
        <v>-1.75</v>
      </c>
      <c r="AVO5" s="13">
        <f t="shared" si="113"/>
        <v>-7.75</v>
      </c>
      <c r="AVP5" s="13">
        <f t="shared" si="113"/>
        <v>3</v>
      </c>
      <c r="AVQ5" s="13">
        <f t="shared" si="113"/>
        <v>-1</v>
      </c>
      <c r="AVR5" s="13">
        <f t="shared" si="113"/>
        <v>-3.25</v>
      </c>
      <c r="AVS5" s="13">
        <f t="shared" ref="AVS5:AVX5" si="114">(5-AVS4)</f>
        <v>-6.5</v>
      </c>
      <c r="AVT5" s="13">
        <f t="shared" si="114"/>
        <v>3.25</v>
      </c>
      <c r="AVU5" s="13">
        <f t="shared" si="114"/>
        <v>-2.75</v>
      </c>
      <c r="AVV5" s="13">
        <f t="shared" si="114"/>
        <v>2</v>
      </c>
      <c r="AVW5" s="13">
        <f t="shared" si="114"/>
        <v>2.25</v>
      </c>
      <c r="AVX5" s="13">
        <f t="shared" si="114"/>
        <v>-3.5</v>
      </c>
      <c r="AVY5" s="13">
        <f t="shared" ref="AVY5:AWA5" si="115">(5-AVY4)</f>
        <v>0</v>
      </c>
      <c r="AVZ5" s="13">
        <f t="shared" si="115"/>
        <v>-1</v>
      </c>
      <c r="AWA5" s="13">
        <f t="shared" si="115"/>
        <v>0.5</v>
      </c>
      <c r="AWB5" s="13">
        <f t="shared" ref="AWB5:AWD5" si="116">(5-AWB4)</f>
        <v>-0.75</v>
      </c>
      <c r="AWC5" s="13">
        <f t="shared" si="116"/>
        <v>-2.5</v>
      </c>
      <c r="AWD5" s="13">
        <f t="shared" si="116"/>
        <v>-0.25</v>
      </c>
      <c r="AWE5" s="13">
        <f t="shared" ref="AWE5:AWG5" si="117">(5-AWE4)</f>
        <v>-1.75</v>
      </c>
      <c r="AWF5" s="13">
        <f t="shared" si="117"/>
        <v>-1.25</v>
      </c>
      <c r="AWG5" s="13">
        <f t="shared" si="117"/>
        <v>-1.5</v>
      </c>
      <c r="AWH5" s="13">
        <f t="shared" ref="AWH5:AWJ5" si="118">(5-AWH4)</f>
        <v>0.5</v>
      </c>
      <c r="AWI5" s="13">
        <f t="shared" si="118"/>
        <v>-2</v>
      </c>
      <c r="AWJ5" s="13">
        <f t="shared" si="118"/>
        <v>0.5</v>
      </c>
      <c r="AWK5" s="13">
        <f t="shared" ref="AWK5:AWM5" si="119">(5-AWK4)</f>
        <v>-5.5</v>
      </c>
      <c r="AWL5" s="13">
        <f t="shared" si="119"/>
        <v>1.25</v>
      </c>
      <c r="AWM5" s="13">
        <f t="shared" si="119"/>
        <v>-0.5</v>
      </c>
      <c r="AWN5" s="13">
        <f t="shared" ref="AWN5:AWP5" si="120">(5-AWN4)</f>
        <v>-3.75</v>
      </c>
      <c r="AWO5" s="13">
        <f t="shared" si="120"/>
        <v>-1.5</v>
      </c>
      <c r="AWP5" s="13">
        <f t="shared" si="120"/>
        <v>-0.5</v>
      </c>
      <c r="AWQ5" s="13">
        <f t="shared" ref="AWQ5:AWR5" si="121">(5-AWQ4)</f>
        <v>-1</v>
      </c>
      <c r="AWR5" s="13">
        <f t="shared" si="121"/>
        <v>-2.75</v>
      </c>
      <c r="AWS5" s="13">
        <f t="shared" ref="AWS5:AWX5" si="122">(5-AWS4)</f>
        <v>1.5</v>
      </c>
      <c r="AWT5" s="13">
        <f t="shared" si="122"/>
        <v>-2.25</v>
      </c>
      <c r="AWU5" s="13">
        <f t="shared" si="122"/>
        <v>-0.5</v>
      </c>
      <c r="AWV5" s="13">
        <f t="shared" si="122"/>
        <v>0</v>
      </c>
      <c r="AWW5" s="13">
        <f t="shared" si="122"/>
        <v>1.25</v>
      </c>
      <c r="AWX5" s="13">
        <f t="shared" si="122"/>
        <v>-7.5</v>
      </c>
      <c r="AWY5" s="13">
        <f t="shared" ref="AWY5:AXD5" si="123">(5-AWY4)</f>
        <v>2</v>
      </c>
      <c r="AWZ5" s="13">
        <f t="shared" si="123"/>
        <v>-1.75</v>
      </c>
      <c r="AXA5" s="13">
        <f t="shared" si="123"/>
        <v>-2.5</v>
      </c>
      <c r="AXB5" s="13">
        <f t="shared" si="123"/>
        <v>-1</v>
      </c>
      <c r="AXC5" s="13">
        <f t="shared" si="123"/>
        <v>-6.75</v>
      </c>
      <c r="AXD5" s="13">
        <f t="shared" si="123"/>
        <v>0.5</v>
      </c>
      <c r="AXE5" s="13">
        <f t="shared" ref="AXE5:AXG5" si="124">(5-AXE4)</f>
        <v>-8</v>
      </c>
      <c r="AXF5" s="13">
        <f t="shared" si="124"/>
        <v>5</v>
      </c>
      <c r="AXG5" s="13">
        <f t="shared" si="124"/>
        <v>-1.25</v>
      </c>
      <c r="AXH5" s="13">
        <f t="shared" ref="AXH5:AXM5" si="125">(5-AXH4)</f>
        <v>1.25</v>
      </c>
      <c r="AXI5" s="13">
        <f t="shared" si="125"/>
        <v>-3</v>
      </c>
      <c r="AXJ5" s="13">
        <f t="shared" si="125"/>
        <v>0.25</v>
      </c>
      <c r="AXK5" s="13">
        <f t="shared" si="125"/>
        <v>-3</v>
      </c>
      <c r="AXL5" s="13">
        <f t="shared" si="125"/>
        <v>2</v>
      </c>
      <c r="AXM5" s="13">
        <f t="shared" si="125"/>
        <v>-2</v>
      </c>
      <c r="AXN5" s="13">
        <f t="shared" ref="AXN5:AXP5" si="126">(5-AXN4)</f>
        <v>5</v>
      </c>
      <c r="AXO5" s="13">
        <f t="shared" si="126"/>
        <v>-3.5</v>
      </c>
      <c r="AXP5" s="13">
        <f t="shared" si="126"/>
        <v>-0.75</v>
      </c>
      <c r="AXQ5" s="13">
        <f t="shared" ref="AXQ5:AXS5" si="127">(5-AXQ4)</f>
        <v>-4.5</v>
      </c>
      <c r="AXR5" s="13">
        <f t="shared" si="127"/>
        <v>4.25</v>
      </c>
      <c r="AXS5" s="13">
        <f t="shared" si="127"/>
        <v>-1.25</v>
      </c>
      <c r="AXT5" s="13">
        <f t="shared" ref="AXT5:AXV5" si="128">(5-AXT4)</f>
        <v>0.5</v>
      </c>
      <c r="AXU5" s="13">
        <f t="shared" si="128"/>
        <v>-0.75</v>
      </c>
      <c r="AXV5" s="13">
        <f t="shared" si="128"/>
        <v>-2</v>
      </c>
      <c r="AXW5" s="13">
        <f t="shared" ref="AXW5:AXY5" si="129">(5-AXW4)</f>
        <v>-0.25</v>
      </c>
      <c r="AXX5" s="13">
        <f t="shared" si="129"/>
        <v>1</v>
      </c>
      <c r="AXY5" s="13">
        <f t="shared" si="129"/>
        <v>-3.5</v>
      </c>
      <c r="AXZ5" s="13">
        <f t="shared" ref="AXZ5:AYB5" si="130">(5-AXZ4)</f>
        <v>1.5</v>
      </c>
      <c r="AYA5" s="13">
        <f t="shared" si="130"/>
        <v>-2.5</v>
      </c>
      <c r="AYB5" s="13">
        <f t="shared" si="130"/>
        <v>-0.5</v>
      </c>
      <c r="AYC5" s="13">
        <f t="shared" ref="AYC5:AYE5" si="131">(5-AYC4)</f>
        <v>0</v>
      </c>
      <c r="AYD5" s="13">
        <f t="shared" si="131"/>
        <v>0</v>
      </c>
      <c r="AYE5" s="13">
        <f t="shared" si="131"/>
        <v>1.25</v>
      </c>
      <c r="AYF5" s="13">
        <f t="shared" ref="AYF5:AYH5" si="132">(5-AYF4)</f>
        <v>-2.75</v>
      </c>
      <c r="AYG5" s="13">
        <f t="shared" si="132"/>
        <v>1</v>
      </c>
      <c r="AYH5" s="13">
        <f t="shared" si="132"/>
        <v>0.5</v>
      </c>
      <c r="AYI5" s="13">
        <f t="shared" ref="AYI5:AYK5" si="133">(5-AYI4)</f>
        <v>-1.25</v>
      </c>
      <c r="AYJ5" s="13">
        <f t="shared" si="133"/>
        <v>0</v>
      </c>
      <c r="AYK5" s="13">
        <f t="shared" si="133"/>
        <v>1.25</v>
      </c>
      <c r="AYL5" s="13">
        <f t="shared" ref="AYL5:AYN5" si="134">(5-AYL4)</f>
        <v>-3.5</v>
      </c>
      <c r="AYM5" s="13">
        <f t="shared" si="134"/>
        <v>0.5</v>
      </c>
      <c r="AYN5" s="13">
        <f t="shared" si="134"/>
        <v>-2.25</v>
      </c>
      <c r="AYO5" s="13">
        <f t="shared" ref="AYO5:AYQ5" si="135">(5-AYO4)</f>
        <v>1.75</v>
      </c>
      <c r="AYP5" s="13">
        <f t="shared" si="135"/>
        <v>-3.5</v>
      </c>
      <c r="AYQ5" s="13">
        <f t="shared" si="135"/>
        <v>2.5</v>
      </c>
      <c r="AYR5" s="13">
        <f t="shared" ref="AYR5:AYS5" si="136">(5-AYR4)</f>
        <v>-1.25</v>
      </c>
      <c r="AYS5" s="13">
        <f t="shared" si="136"/>
        <v>1.25</v>
      </c>
      <c r="AYT5" s="93"/>
      <c r="AYU5" s="94"/>
      <c r="AYV5" s="94"/>
      <c r="AYW5" s="18" t="s">
        <v>13</v>
      </c>
      <c r="AYX5" s="12">
        <f>($AYX$1+(100/24))</f>
        <v>46209.489583333328</v>
      </c>
    </row>
    <row r="6" spans="1:1350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89">
        <f>(((SUM($B$4:ATP$4)+(5*112)+156.75)-(ATP$1*0.167))/ATP$1)</f>
        <v>6.5782758881330308</v>
      </c>
      <c r="ATQ6" s="30">
        <f>(((SUM($B$4:ATQ$4)+(5*112)+156.75)-(ATQ$1*0.167))/ATQ$1)</f>
        <v>6.5805453172205439</v>
      </c>
      <c r="ATR6" s="17">
        <f>(((SUM($B$4:ATR$4)+(5*112)+156.75)-(ATR$1*0.167))/ATR$1)</f>
        <v>6.5814905660377363</v>
      </c>
      <c r="ATS6" s="23">
        <f>(((SUM($B$4:ATS$4)+(5*112)+156.75)-(ATS$1*0.167))/ATS$1)</f>
        <v>6.5816802413273008</v>
      </c>
      <c r="ATT6" s="54">
        <f>(((SUM($B$4:ATT$4)+(5*112)+156.75)-(ATT$1*0.167))/ATT$1)</f>
        <v>6.5845071590052751</v>
      </c>
      <c r="ATU6" s="59">
        <f>(((SUM($B$4:ATU$4)+(5*112)+156.75)-(ATU$1*0.167))/ATU$1)</f>
        <v>6.5865768072289157</v>
      </c>
      <c r="ATV6" s="64">
        <f>(((SUM($B$4:ATV$4)+(5*112)+156.75)-(ATV$1*0.167))/ATV$1)</f>
        <v>6.5814951091045906</v>
      </c>
      <c r="ATW6" s="69">
        <f>(((SUM($B$4:ATW$4)+(5*112)+156.75)-(ATW$1*0.167))/ATW$1)</f>
        <v>6.5850676691729317</v>
      </c>
      <c r="ATX6" s="73">
        <f>(((SUM($B$4:ATX$4)+(5*112)+156.75)-(ATX$1*0.167))/ATX$1)</f>
        <v>6.5843148009015779</v>
      </c>
      <c r="ATY6" s="77">
        <f>(((SUM($B$4:ATY$4)+(5*112)+156.75)-(ATY$1*0.167))/ATY$1)</f>
        <v>6.584501501501502</v>
      </c>
      <c r="ATZ6" s="81">
        <f>(((SUM($B$4:ATZ$4)+(5*112)+156.75)-(ATZ$1*0.167))/ATZ$1)</f>
        <v>6.5835626406601646</v>
      </c>
      <c r="AUA6" s="85">
        <f>(((SUM($B$4:AUA$4)+(5*112)+156.75)-(AUA$1*0.167))/AUA$1)</f>
        <v>6.5843118440779609</v>
      </c>
      <c r="AUB6" s="41">
        <f>(((SUM($B$4:AUB$4)+(5*112)+156.75)-(AUB$1*0.167))/AUB$1)</f>
        <v>6.5822509363295882</v>
      </c>
      <c r="AUC6" s="13">
        <f>(((SUM($B$4:AUC$4)+(5*112)+156.75)-(AUC$1*0.167))/AUC$1)</f>
        <v>6.5815029940119762</v>
      </c>
      <c r="AUD6" s="13">
        <f>(((SUM($B$4:AUD$4)+(5*112)+156.75)-(AUD$1*0.167))/AUD$1)</f>
        <v>6.5829999999999993</v>
      </c>
      <c r="AUE6" s="13">
        <f>(((SUM($B$4:AUE$4)+(5*112)+156.75)-(AUE$1*0.167))/AUE$1)</f>
        <v>6.5828131539611361</v>
      </c>
      <c r="AUF6" s="13">
        <f>(((SUM($B$4:AUF$4)+(5*112)+156.75)-(AUF$1*0.167))/AUF$1)</f>
        <v>6.5818797610156841</v>
      </c>
      <c r="AUG6" s="13">
        <f>(((SUM($B$4:AUG$4)+(5*112)+156.75)-(AUG$1*0.167))/AUG$1)</f>
        <v>6.5809477611940297</v>
      </c>
      <c r="AUH6" s="13">
        <f>(((SUM($B$4:AUH$4)+(5*112)+156.75)-(AUH$1*0.167))/AUH$1)</f>
        <v>6.5831864280387773</v>
      </c>
      <c r="AUI6" s="13">
        <f>(((SUM($B$4:AUI$4)+(5*112)+156.75)-(AUI$1*0.167))/AUI$1)</f>
        <v>6.58020566318927</v>
      </c>
      <c r="AUJ6" s="13">
        <f>(((SUM($B$4:AUJ$4)+(5*112)+156.75)-(AUJ$1*0.167))/AUJ$1)</f>
        <v>6.5837446016381227</v>
      </c>
      <c r="AUK6" s="13">
        <f>(((SUM($B$4:AUK$4)+(5*112)+156.75)-(AUK$1*0.167))/AUK$1)</f>
        <v>6.5811398809523807</v>
      </c>
      <c r="AUL6" s="13">
        <f>(((SUM($B$4:AUL$4)+(5*112)+156.75)-(AUL$1*0.167))/AUL$1)</f>
        <v>6.5861598513011153</v>
      </c>
      <c r="AUM6" s="13">
        <f>(((SUM($B$4:AUM$4)+(5*112)+156.75)-(AUM$1*0.167))/AUM$1)</f>
        <v>6.587271916790491</v>
      </c>
      <c r="AUN6" s="13">
        <f>(((SUM($B$4:AUN$4)+(5*112)+156.75)-(AUN$1*0.167))/AUN$1)</f>
        <v>6.5896815144766139</v>
      </c>
      <c r="AUO6" s="13">
        <f>(((SUM($B$4:AUO$4)+(5*112)+156.75)-(AUO$1*0.167))/AUO$1)</f>
        <v>6.5872655786350149</v>
      </c>
      <c r="AUP6" s="13">
        <f>(((SUM($B$4:AUP$4)+(5*112)+156.75)-(AUP$1*0.167))/AUP$1)</f>
        <v>6.5907835433654567</v>
      </c>
      <c r="AUQ6" s="13">
        <f>(((SUM($B$4:AUQ$4)+(5*112)+156.75)-(AUQ$1*0.167))/AUQ$1)</f>
        <v>6.592629629629629</v>
      </c>
      <c r="AUR6" s="13">
        <f>(((SUM($B$4:AUR$4)+(5*112)+156.75)-(AUR$1*0.167))/AUR$1)</f>
        <v>6.5926225018504807</v>
      </c>
      <c r="AUS6" s="13">
        <f>(((SUM($B$4:AUS$4)+(5*112)+156.75)-(AUS$1*0.167))/AUS$1)</f>
        <v>6.5940946745562137</v>
      </c>
      <c r="AUT6" s="13">
        <f>(((SUM($B$4:AUT$4)+(5*112)+156.75)-(AUT$1*0.167))/AUT$1)</f>
        <v>6.5920539541759045</v>
      </c>
      <c r="AUU6" s="13">
        <f>(((SUM($B$4:AUU$4)+(5*112)+156.75)-(AUU$1*0.167))/AUU$1)</f>
        <v>6.5903855243722305</v>
      </c>
      <c r="AUV6" s="13">
        <f>(((SUM($B$4:AUV$4)+(5*112)+156.75)-(AUV$1*0.167))/AUV$1)</f>
        <v>6.5887195571955717</v>
      </c>
      <c r="AUW6" s="13">
        <f>(((SUM($B$4:AUW$4)+(5*112)+156.75)-(AUW$1*0.167))/AUW$1)</f>
        <v>6.5859498525073752</v>
      </c>
      <c r="AUX6" s="13">
        <f>(((SUM($B$4:AUX$4)+(5*112)+156.75)-(AUX$1*0.167))/AUX$1)</f>
        <v>6.5839211495946941</v>
      </c>
      <c r="AUY6" s="13">
        <f>(((SUM($B$4:AUY$4)+(5*112)+156.75)-(AUY$1*0.167))/AUY$1)</f>
        <v>6.5793181148748161</v>
      </c>
      <c r="AUZ6" s="13">
        <f>(((SUM($B$4:AUZ$4)+(5*112)+156.75)-(AUZ$1*0.167))/AUZ$1)</f>
        <v>6.579872700515085</v>
      </c>
      <c r="AVA6" s="13">
        <f>(((SUM($B$4:AVA$4)+(5*112)+156.75)-(AVA$1*0.167))/AVA$1)</f>
        <v>6.5771176470588228</v>
      </c>
      <c r="AVB6" s="13">
        <f>(((SUM($B$4:AVB$4)+(5*112)+156.75)-(AVB$1*0.167))/AVB$1)</f>
        <v>6.5778567229977956</v>
      </c>
      <c r="AVC6" s="13">
        <f>(((SUM($B$4:AVC$4)+(5*112)+156.75)-(AVC$1*0.167))/AVC$1)</f>
        <v>6.5820822320117474</v>
      </c>
      <c r="AVD6" s="13">
        <f>(((SUM($B$4:AVD$4)+(5*112)+156.75)-(AVD$1*0.167))/AVD$1)</f>
        <v>6.5892362435803378</v>
      </c>
      <c r="AVE6" s="13">
        <f>(((SUM($B$4:AVE$4)+(5*112)+156.75)-(AVE$1*0.167))/AVE$1)</f>
        <v>6.5877653958944276</v>
      </c>
      <c r="AVF6" s="13">
        <f>(((SUM($B$4:AVF$4)+(5*112)+156.75)-(AVF$1*0.167))/AVF$1)</f>
        <v>6.5906923076923078</v>
      </c>
      <c r="AVG6" s="13">
        <f>(((SUM($B$4:AVG$4)+(5*112)+156.75)-(AVG$1*0.167))/AVG$1)</f>
        <v>6.5875754026354327</v>
      </c>
      <c r="AVH6" s="13">
        <f>(((SUM($B$4:AVH$4)+(5*112)+156.75)-(AVH$1*0.167))/AVH$1)</f>
        <v>6.5894008778346738</v>
      </c>
      <c r="AVI6" s="13">
        <f>(((SUM($B$4:AVI$4)+(5*112)+156.75)-(AVI$1*0.167))/AVI$1)</f>
        <v>6.5890307017543854</v>
      </c>
      <c r="AVJ6" s="13">
        <f>(((SUM($B$4:AVJ$4)+(5*112)+156.75)-(AVJ$1*0.167))/AVJ$1)</f>
        <v>6.5881132213294382</v>
      </c>
      <c r="AVK6" s="13">
        <f>(((SUM($B$4:AVK$4)+(5*112)+156.75)-(AVK$1*0.167))/AVK$1)</f>
        <v>6.5855547445255471</v>
      </c>
      <c r="AVL6" s="13">
        <f>(((SUM($B$4:AVL$4)+(5*112)+156.75)-(AVL$1*0.167))/AVL$1)</f>
        <v>6.5875587162654998</v>
      </c>
      <c r="AVM6" s="13">
        <f>(((SUM($B$4:AVM$4)+(5*112)+156.75)-(AVM$1*0.167))/AVM$1)</f>
        <v>6.5862798833819243</v>
      </c>
      <c r="AVN6" s="13">
        <f>(((SUM($B$4:AVN$4)+(5*112)+156.75)-(AVN$1*0.167))/AVN$1)</f>
        <v>6.5862774945375095</v>
      </c>
      <c r="AVO6" s="13">
        <f>(((SUM($B$4:AVO$4)+(5*112)+156.75)-(AVO$1*0.167))/AVO$1)</f>
        <v>6.5906419213973795</v>
      </c>
      <c r="AVP6" s="13">
        <f>(((SUM($B$4:AVP$4)+(5*112)+156.75)-(AVP$1*0.167))/AVP$1)</f>
        <v>6.5871818181818185</v>
      </c>
      <c r="AVQ6" s="13">
        <f>(((SUM($B$4:AVQ$4)+(5*112)+156.75)-(AVQ$1*0.167))/AVQ$1)</f>
        <v>6.5866337209302328</v>
      </c>
      <c r="AVR6" s="13">
        <f>(((SUM($B$4:AVR$4)+(5*112)+156.75)-(AVR$1*0.167))/AVR$1)</f>
        <v>6.5877204066811901</v>
      </c>
      <c r="AVS6" s="13">
        <f>(((SUM($B$4:AVS$4)+(5*112)+156.75)-(AVS$1*0.167))/AVS$1)</f>
        <v>6.5911640058055152</v>
      </c>
      <c r="AVT6" s="13">
        <f>(((SUM($B$4:AVT$4)+(5*112)+156.75)-(AVT$1*0.167))/AVT$1)</f>
        <v>6.5875322697606968</v>
      </c>
      <c r="AVU6" s="13">
        <f>(((SUM($B$4:AVU$4)+(5*112)+156.75)-(AVU$1*0.167))/AVU$1)</f>
        <v>6.5882536231884066</v>
      </c>
      <c r="AVV6" s="13">
        <f>(((SUM($B$4:AVV$4)+(5*112)+156.75)-(AVV$1*0.167))/AVV$1)</f>
        <v>6.5855343953656771</v>
      </c>
      <c r="AVW6" s="13">
        <f>(((SUM($B$4:AVW$4)+(5*112)+156.75)-(AVW$1*0.167))/AVW$1)</f>
        <v>6.5826382054992765</v>
      </c>
      <c r="AVX6" s="13">
        <f>(((SUM($B$4:AVX$4)+(5*112)+156.75)-(AVX$1*0.167))/AVX$1)</f>
        <v>6.5839038322487351</v>
      </c>
      <c r="AVY6" s="13">
        <f>(((SUM($B$4:AVY$4)+(5*112)+156.75)-(AVY$1*0.167))/AVY$1)</f>
        <v>6.5826387283236993</v>
      </c>
      <c r="AVZ6" s="13">
        <f>(((SUM($B$4:AVZ$4)+(5*112)+156.75)-(AVZ$1*0.167))/AVZ$1)</f>
        <v>6.5820974729241879</v>
      </c>
      <c r="AWA6" s="13">
        <f>(((SUM($B$4:AWA$4)+(5*112)+156.75)-(AWA$1*0.167))/AWA$1)</f>
        <v>6.5804747474747476</v>
      </c>
      <c r="AWB6" s="13">
        <f>(((SUM($B$4:AWB$4)+(5*112)+156.75)-(AWB$1*0.167))/AWB$1)</f>
        <v>6.5797555875991343</v>
      </c>
      <c r="AWC6" s="13">
        <f>(((SUM($B$4:AWC$4)+(5*112)+156.75)-(AWC$1*0.167))/AWC$1)</f>
        <v>6.5802982708933717</v>
      </c>
      <c r="AWD6" s="13">
        <f>(((SUM($B$4:AWD$4)+(5*112)+156.75)-(AWD$1*0.167))/AWD$1)</f>
        <v>6.57922030237581</v>
      </c>
      <c r="AWE6" s="13">
        <f>(((SUM($B$4:AWE$4)+(5*112)+156.75)-(AWE$1*0.167))/AWE$1)</f>
        <v>6.5792230215827345</v>
      </c>
      <c r="AWF6" s="13">
        <f>(((SUM($B$4:AWF$4)+(5*112)+156.75)-(AWF$1*0.167))/AWF$1)</f>
        <v>6.5788662832494609</v>
      </c>
      <c r="AWG6" s="13">
        <f>(((SUM($B$4:AWG$4)+(5*112)+156.75)-(AWG$1*0.167))/AWG$1)</f>
        <v>6.5786896551724139</v>
      </c>
      <c r="AWH6" s="13">
        <f>(((SUM($B$4:AWH$4)+(5*112)+156.75)-(AWH$1*0.167))/AWH$1)</f>
        <v>6.5770775305096913</v>
      </c>
      <c r="AWI6" s="13">
        <f>(((SUM($B$4:AWI$4)+(5*112)+156.75)-(AWI$1*0.167))/AWI$1)</f>
        <v>6.5772611190817782</v>
      </c>
      <c r="AWJ6" s="13">
        <f>(((SUM($B$4:AWJ$4)+(5*112)+156.75)-(AWJ$1*0.167))/AWJ$1)</f>
        <v>6.5756523297491034</v>
      </c>
      <c r="AWK6" s="13">
        <f>(((SUM($B$4:AWK$4)+(5*112)+156.75)-(AWK$1*0.167))/AWK$1)</f>
        <v>6.5783438395415477</v>
      </c>
      <c r="AWL6" s="13">
        <f>(((SUM($B$4:AWL$4)+(5*112)+156.75)-(AWL$1*0.167))/AWL$1)</f>
        <v>6.5761997136721542</v>
      </c>
      <c r="AWM6" s="13">
        <f>(((SUM($B$4:AWM$4)+(5*112)+156.75)-(AWM$1*0.167))/AWM$1)</f>
        <v>6.575310443490701</v>
      </c>
      <c r="AWN6" s="13">
        <f>(((SUM($B$4:AWN$4)+(5*112)+156.75)-(AWN$1*0.167))/AWN$1)</f>
        <v>6.5767455325232307</v>
      </c>
      <c r="AWO6" s="13">
        <f>(((SUM($B$4:AWO$4)+(5*112)+156.75)-(AWO$1*0.167))/AWO$1)</f>
        <v>6.5765714285714294</v>
      </c>
      <c r="AWP6" s="13">
        <f>(((SUM($B$4:AWP$4)+(5*112)+156.75)-(AWP$1*0.167))/AWP$1)</f>
        <v>6.5756837972876516</v>
      </c>
      <c r="AWQ6" s="13">
        <f>(((SUM($B$4:AWQ$4)+(5*112)+156.75)-(AWQ$1*0.167))/AWQ$1)</f>
        <v>6.5751540656205423</v>
      </c>
      <c r="AWR6" s="13">
        <f>(((SUM($B$4:AWR$4)+(5*112)+156.75)-(AWR$1*0.167))/AWR$1)</f>
        <v>6.575872416250891</v>
      </c>
      <c r="AWS6" s="13">
        <f>(((SUM($B$4:AWS$4)+(5*112)+156.75)-(AWS$1*0.167))/AWS$1)</f>
        <v>6.5735626780626779</v>
      </c>
      <c r="AWT6" s="13">
        <f>(((SUM($B$4:AWT$4)+(5*112)+156.75)-(AWT$1*0.167))/AWT$1)</f>
        <v>6.5739252669039141</v>
      </c>
      <c r="AWU6" s="13">
        <f>(((SUM($B$4:AWU$4)+(5*112)+156.75)-(AWU$1*0.167))/AWU$1)</f>
        <v>6.5730426742532009</v>
      </c>
      <c r="AWV6" s="13">
        <f>(((SUM($B$4:AWV$4)+(5*112)+156.75)-(AWV$1*0.167))/AWV$1)</f>
        <v>6.5718059701492546</v>
      </c>
      <c r="AWW6" s="13">
        <f>(((SUM($B$4:AWW$4)+(5*112)+156.75)-(AWW$1*0.167))/AWW$1)</f>
        <v>6.5696832386363635</v>
      </c>
      <c r="AWX6" s="13">
        <f>(((SUM($B$4:AWX$4)+(5*112)+156.75)-(AWX$1*0.167))/AWX$1)</f>
        <v>6.5737735982966647</v>
      </c>
      <c r="AWY6" s="13">
        <f>(((SUM($B$4:AWY$4)+(5*112)+156.75)-(AWY$1*0.167))/AWY$1)</f>
        <v>6.5711205673758872</v>
      </c>
      <c r="AWZ6" s="13">
        <f>(((SUM($B$4:AWZ$4)+(5*112)+156.75)-(AWZ$1*0.167))/AWZ$1)</f>
        <v>6.5711289865343723</v>
      </c>
      <c r="AXA6" s="13">
        <f>(((SUM($B$4:AXA$4)+(5*112)+156.75)-(AXA$1*0.167))/AXA$1)</f>
        <v>6.5716685552407927</v>
      </c>
      <c r="AXB6" s="13">
        <f>(((SUM($B$4:AXB$4)+(5*112)+156.75)-(AXB$1*0.167))/AXB$1)</f>
        <v>6.5711457891012035</v>
      </c>
      <c r="AXC6" s="13">
        <f>(((SUM($B$4:AXC$4)+(5*112)+156.75)-(AXC$1*0.167))/AXC$1)</f>
        <v>6.5746902404526164</v>
      </c>
      <c r="AXD6" s="13">
        <f>(((SUM($B$4:AXD$4)+(5*112)+156.75)-(AXD$1*0.167))/AXD$1)</f>
        <v>6.5731060070671372</v>
      </c>
      <c r="AXE6" s="13">
        <f>(((SUM($B$4:AXE$4)+(5*112)+156.75)-(AXE$1*0.167))/AXE$1)</f>
        <v>6.5775268361581922</v>
      </c>
      <c r="AXF6" s="13">
        <f>(((SUM($B$4:AXF$4)+(5*112)+156.75)-(AXF$1*0.167))/AXF$1)</f>
        <v>6.5727671136203254</v>
      </c>
      <c r="AXG6" s="13">
        <f>(((SUM($B$4:AXG$4)+(5*112)+156.75)-(AXG$1*0.167))/AXG$1)</f>
        <v>6.572421720733427</v>
      </c>
      <c r="AXH6" s="13">
        <f>(((SUM($B$4:AXH$4)+(5*112)+156.75)-(AXH$1*0.167))/AXH$1)</f>
        <v>6.5703150105708241</v>
      </c>
      <c r="AXI6" s="13">
        <f>(((SUM($B$4:AXI$4)+(5*112)+156.75)-(AXI$1*0.167))/AXI$1)</f>
        <v>6.5712042253521128</v>
      </c>
      <c r="AXJ6" s="13">
        <f>(((SUM($B$4:AXJ$4)+(5*112)+156.75)-(AXJ$1*0.167))/AXJ$1)</f>
        <v>6.5698050668543271</v>
      </c>
      <c r="AXK6" s="13">
        <f>(((SUM($B$4:AXK$4)+(5*112)+156.75)-(AXK$1*0.167))/AXK$1)</f>
        <v>6.5706933895921233</v>
      </c>
      <c r="AXL6" s="13">
        <f>(((SUM($B$4:AXL$4)+(5*112)+156.75)-(AXL$1*0.167))/AXL$1)</f>
        <v>6.5680667603654257</v>
      </c>
      <c r="AXM6" s="13">
        <f>(((SUM($B$4:AXM$4)+(5*112)+156.75)-(AXM$1*0.167))/AXM$1)</f>
        <v>6.5682528089887633</v>
      </c>
      <c r="AXN6" s="13">
        <f>(((SUM($B$4:AXN$4)+(5*112)+156.75)-(AXN$1*0.167))/AXN$1)</f>
        <v>6.5635263157894732</v>
      </c>
      <c r="AXO6" s="13">
        <f>(((SUM($B$4:AXO$4)+(5*112)+156.75)-(AXO$1*0.167))/AXO$1)</f>
        <v>6.5647671809256662</v>
      </c>
      <c r="AXP6" s="13">
        <f>(((SUM($B$4:AXP$4)+(5*112)+156.75)-(AXP$1*0.167))/AXP$1)</f>
        <v>6.5640791871058166</v>
      </c>
      <c r="AXQ6" s="13">
        <f>(((SUM($B$4:AXQ$4)+(5*112)+156.75)-(AXQ$1*0.167))/AXQ$1)</f>
        <v>6.5660182072829132</v>
      </c>
      <c r="AXR6" s="13">
        <f>(((SUM($B$4:AXR$4)+(5*112)+156.75)-(AXR$1*0.167))/AXR$1)</f>
        <v>6.5618313505948214</v>
      </c>
      <c r="AXS6" s="13">
        <f>(((SUM($B$4:AXS$4)+(5*112)+156.75)-(AXS$1*0.167))/AXS$1)</f>
        <v>6.561496503496504</v>
      </c>
      <c r="AXT6" s="13">
        <f>(((SUM($B$4:AXT$4)+(5*112)+156.75)-(AXT$1*0.167))/AXT$1)</f>
        <v>6.5599392033542969</v>
      </c>
      <c r="AXU6" s="13">
        <f>(((SUM($B$4:AXU$4)+(5*112)+156.75)-(AXU$1*0.167))/AXU$1)</f>
        <v>6.559256983240223</v>
      </c>
      <c r="AXV6" s="13">
        <f>(((SUM($B$4:AXV$4)+(5*112)+156.75)-(AXV$1*0.167))/AXV$1)</f>
        <v>6.5594480111653874</v>
      </c>
      <c r="AXW6" s="13">
        <f>(((SUM($B$4:AXW$4)+(5*112)+156.75)-(AXW$1*0.167))/AXW$1)</f>
        <v>6.5584184100418419</v>
      </c>
      <c r="AXX6" s="13">
        <f>(((SUM($B$4:AXX$4)+(5*112)+156.75)-(AXX$1*0.167))/AXX$1)</f>
        <v>6.556519163763066</v>
      </c>
      <c r="AXY6" s="13">
        <f>(((SUM($B$4:AXY$4)+(5*112)+156.75)-(AXY$1*0.167))/AXY$1)</f>
        <v>6.5577562674094709</v>
      </c>
      <c r="AXZ6" s="13">
        <f>(((SUM($B$4:AXZ$4)+(5*112)+156.75)-(AXZ$1*0.167))/AXZ$1)</f>
        <v>6.5555121781489216</v>
      </c>
      <c r="AYA6" s="13">
        <f>(((SUM($B$4:AYA$4)+(5*112)+156.75)-(AYA$1*0.167))/AYA$1)</f>
        <v>6.5560528511821969</v>
      </c>
      <c r="AYB6" s="13">
        <f>(((SUM($B$4:AYB$4)+(5*112)+156.75)-(AYB$1*0.167))/AYB$1)</f>
        <v>6.5552029186935368</v>
      </c>
      <c r="AYC6" s="13">
        <f>(((SUM($B$4:AYC$4)+(5*112)+156.75)-(AYC$1*0.167))/AYC$1)</f>
        <v>6.5540069444444446</v>
      </c>
      <c r="AYD6" s="13">
        <f>(((SUM($B$4:AYD$4)+(5*112)+156.75)-(AYD$1*0.167))/AYD$1)</f>
        <v>6.5528126301179732</v>
      </c>
      <c r="AYE6" s="13">
        <f>(((SUM($B$4:AYE$4)+(5*112)+156.75)-(AYE$1*0.167))/AYE$1)</f>
        <v>6.5507531206657417</v>
      </c>
      <c r="AYF6" s="13">
        <f>(((SUM($B$4:AYF$4)+(5*112)+156.75)-(AYF$1*0.167))/AYF$1)</f>
        <v>6.5514684684684683</v>
      </c>
      <c r="AYG6" s="13">
        <f>(((SUM($B$4:AYG$4)+(5*112)+156.75)-(AYG$1*0.167))/AYG$1)</f>
        <v>6.549585872576178</v>
      </c>
      <c r="AYH6" s="13">
        <f>(((SUM($B$4:AYH$4)+(5*112)+156.75)-(AYH$1*0.167))/AYH$1)</f>
        <v>6.5480519031141862</v>
      </c>
      <c r="AYI6" s="13">
        <f>(((SUM($B$4:AYI$4)+(5*112)+156.75)-(AYI$1*0.167))/AYI$1)</f>
        <v>6.5477302904564318</v>
      </c>
      <c r="AYJ6" s="13">
        <f>(((SUM($B$4:AYJ$4)+(5*112)+156.75)-(AYJ$1*0.167))/AYJ$1)</f>
        <v>6.546545266067727</v>
      </c>
      <c r="AYK6" s="13">
        <f>(((SUM($B$4:AYK$4)+(5*112)+156.75)-(AYK$1*0.167))/AYK$1)</f>
        <v>6.5444986187845302</v>
      </c>
      <c r="AYL6" s="13">
        <f>(((SUM($B$4:AYL$4)+(5*112)+156.75)-(AYL$1*0.167))/AYL$1)</f>
        <v>6.5457329192546583</v>
      </c>
      <c r="AYM6" s="13">
        <f>(((SUM($B$4:AYM$4)+(5*112)+156.75)-(AYM$1*0.167))/AYM$1)</f>
        <v>6.5442068965517244</v>
      </c>
      <c r="AYN6" s="13">
        <f>(((SUM($B$4:AYN$4)+(5*112)+156.75)-(AYN$1*0.167))/AYN$1)</f>
        <v>6.5445782219159208</v>
      </c>
      <c r="AYO6" s="13">
        <f>(((SUM($B$4:AYO$4)+(5*112)+156.75)-(AYO$1*0.167))/AYO$1)</f>
        <v>6.5421942148760328</v>
      </c>
      <c r="AYP6" s="13">
        <f>(((SUM($B$4:AYP$4)+(5*112)+156.75)-(AYP$1*0.167))/AYP$1)</f>
        <v>6.543426703372333</v>
      </c>
      <c r="AYQ6" s="13">
        <f>(((SUM($B$4:AYQ$4)+(5*112)+156.75)-(AYQ$1*0.167))/AYQ$1)</f>
        <v>6.5405309491059151</v>
      </c>
      <c r="AYR6" s="13">
        <f>(((SUM($B$4:AYR$4)+(5*112)+156.75)-(AYR$1*0.167))/AYR$1)</f>
        <v>6.5402164948453603</v>
      </c>
      <c r="AYS6" s="13">
        <f>(((SUM($B$4:AYS$4)+(5*112)+156.75)-(AYS$1*0.167))/AYS$1)</f>
        <v>6.53818543956044</v>
      </c>
      <c r="AYT6" s="93"/>
      <c r="AYU6" s="94"/>
      <c r="AYV6" s="94"/>
      <c r="AYW6" s="18" t="s">
        <v>22</v>
      </c>
      <c r="AYX6" s="26">
        <f>($AYX$1+(1000/24))</f>
        <v>46246.989583333328</v>
      </c>
    </row>
    <row r="7" spans="1:1350" ht="15" customHeight="1" x14ac:dyDescent="0.3">
      <c r="A7" s="25" t="s">
        <v>26</v>
      </c>
      <c r="B7" s="27">
        <f t="shared" ref="B7:BM7" si="137">((5/B$6)*100)</f>
        <v>79.703306205995659</v>
      </c>
      <c r="C7" s="30">
        <f t="shared" si="137"/>
        <v>80.427592590502215</v>
      </c>
      <c r="D7" s="30">
        <f t="shared" si="137"/>
        <v>79.911610809608845</v>
      </c>
      <c r="E7" s="30">
        <f t="shared" si="137"/>
        <v>80.068693416972906</v>
      </c>
      <c r="F7" s="30">
        <f t="shared" si="137"/>
        <v>80.499675937201999</v>
      </c>
      <c r="G7" s="30">
        <f t="shared" si="137"/>
        <v>80.927900099308133</v>
      </c>
      <c r="H7" s="30">
        <f t="shared" si="137"/>
        <v>80.527611496906786</v>
      </c>
      <c r="I7" s="30">
        <f t="shared" si="137"/>
        <v>81.222671955165083</v>
      </c>
      <c r="J7" s="30">
        <f t="shared" si="137"/>
        <v>79.365808160379274</v>
      </c>
      <c r="K7" s="30">
        <f t="shared" si="137"/>
        <v>80.039258600283944</v>
      </c>
      <c r="L7" s="30">
        <f t="shared" si="137"/>
        <v>80.71300424301046</v>
      </c>
      <c r="M7" s="30">
        <f t="shared" si="137"/>
        <v>79.254293793110492</v>
      </c>
      <c r="N7" s="30">
        <f t="shared" si="137"/>
        <v>79.910500239731505</v>
      </c>
      <c r="O7" s="30">
        <f t="shared" si="137"/>
        <v>79.249469783309308</v>
      </c>
      <c r="P7" s="30">
        <f t="shared" si="137"/>
        <v>79.025214643683384</v>
      </c>
      <c r="Q7" s="30">
        <f t="shared" si="137"/>
        <v>79.122335493537932</v>
      </c>
      <c r="R7" s="30">
        <f t="shared" si="137"/>
        <v>78.590776001666868</v>
      </c>
      <c r="S7" s="30">
        <f t="shared" si="137"/>
        <v>78.144724028901521</v>
      </c>
      <c r="T7" s="30">
        <f t="shared" si="137"/>
        <v>78.384630389541684</v>
      </c>
      <c r="U7" s="30">
        <f t="shared" si="137"/>
        <v>78.528798652160248</v>
      </c>
      <c r="V7" s="30">
        <f t="shared" si="137"/>
        <v>78.951523764408648</v>
      </c>
      <c r="W7" s="30">
        <f t="shared" si="137"/>
        <v>78.998068674082262</v>
      </c>
      <c r="X7" s="30">
        <f t="shared" si="137"/>
        <v>79.322643383022594</v>
      </c>
      <c r="Y7" s="30">
        <f t="shared" si="137"/>
        <v>79.482150412956514</v>
      </c>
      <c r="Z7" s="30">
        <f t="shared" si="137"/>
        <v>79.663112257536312</v>
      </c>
      <c r="AA7" s="30">
        <f t="shared" si="137"/>
        <v>79.291752278776002</v>
      </c>
      <c r="AB7" s="30">
        <f t="shared" si="137"/>
        <v>78.75023936673476</v>
      </c>
      <c r="AC7" s="30">
        <f t="shared" si="137"/>
        <v>78.552832390699351</v>
      </c>
      <c r="AD7" s="30">
        <f t="shared" si="137"/>
        <v>78.25047477504377</v>
      </c>
      <c r="AE7" s="30">
        <f t="shared" si="137"/>
        <v>78.820052709522585</v>
      </c>
      <c r="AF7" s="30">
        <f t="shared" si="137"/>
        <v>78.690848419414522</v>
      </c>
      <c r="AG7" s="30">
        <f t="shared" si="137"/>
        <v>78.735679948209423</v>
      </c>
      <c r="AH7" s="30">
        <f t="shared" si="137"/>
        <v>78.930035327995128</v>
      </c>
      <c r="AI7" s="30">
        <f t="shared" si="137"/>
        <v>78.994240995197586</v>
      </c>
      <c r="AJ7" s="30">
        <f t="shared" si="137"/>
        <v>78.613745533188379</v>
      </c>
      <c r="AK7" s="30">
        <f t="shared" si="137"/>
        <v>78.241966453228216</v>
      </c>
      <c r="AL7" s="30">
        <f t="shared" si="137"/>
        <v>78.000915071137882</v>
      </c>
      <c r="AM7" s="30">
        <f t="shared" si="137"/>
        <v>78.538143358291009</v>
      </c>
      <c r="AN7" s="30">
        <f t="shared" si="137"/>
        <v>78.114249591064151</v>
      </c>
      <c r="AO7" s="30">
        <f t="shared" si="137"/>
        <v>78.645151009037988</v>
      </c>
      <c r="AP7" s="30">
        <f t="shared" si="137"/>
        <v>78.204946028364375</v>
      </c>
      <c r="AQ7" s="30">
        <f t="shared" si="137"/>
        <v>77.853901592668379</v>
      </c>
      <c r="AR7" s="30">
        <f t="shared" si="137"/>
        <v>78.372679789455574</v>
      </c>
      <c r="AS7" s="30">
        <f t="shared" si="137"/>
        <v>78.278043610905939</v>
      </c>
      <c r="AT7" s="30">
        <f t="shared" si="137"/>
        <v>78.010019070219954</v>
      </c>
      <c r="AU7" s="30">
        <f t="shared" si="137"/>
        <v>78.519929153157591</v>
      </c>
      <c r="AV7" s="30">
        <f t="shared" si="137"/>
        <v>78.329213249558833</v>
      </c>
      <c r="AW7" s="30">
        <f t="shared" si="137"/>
        <v>78.141788274824663</v>
      </c>
      <c r="AX7" s="30">
        <f t="shared" si="137"/>
        <v>78.643002775462989</v>
      </c>
      <c r="AY7" s="30">
        <f t="shared" si="137"/>
        <v>79.144380846668994</v>
      </c>
      <c r="AZ7" s="30">
        <f t="shared" si="137"/>
        <v>78.608845279466493</v>
      </c>
      <c r="BA7" s="30">
        <f t="shared" si="137"/>
        <v>79.103849849316816</v>
      </c>
      <c r="BB7" s="30">
        <f t="shared" si="137"/>
        <v>79.102924890574286</v>
      </c>
      <c r="BC7" s="30">
        <f t="shared" si="137"/>
        <v>78.98909189191248</v>
      </c>
      <c r="BD7" s="30">
        <f t="shared" si="137"/>
        <v>79.47756115251029</v>
      </c>
      <c r="BE7" s="30">
        <f t="shared" si="137"/>
        <v>79.025800042147097</v>
      </c>
      <c r="BF7" s="30">
        <f t="shared" si="137"/>
        <v>79.508683383249732</v>
      </c>
      <c r="BG7" s="30">
        <f t="shared" si="137"/>
        <v>79.0984636286653</v>
      </c>
      <c r="BH7" s="30">
        <f t="shared" si="137"/>
        <v>79.244223281489383</v>
      </c>
      <c r="BI7" s="30">
        <f t="shared" si="137"/>
        <v>79.407142580141183</v>
      </c>
      <c r="BJ7" s="30">
        <f t="shared" si="137"/>
        <v>79.02365136774867</v>
      </c>
      <c r="BK7" s="30">
        <f t="shared" si="137"/>
        <v>78.417799217985248</v>
      </c>
      <c r="BL7" s="30">
        <f t="shared" si="137"/>
        <v>78.880349778008153</v>
      </c>
      <c r="BM7" s="30">
        <f t="shared" si="137"/>
        <v>78.179970291611298</v>
      </c>
      <c r="BN7" s="30">
        <f t="shared" ref="BN7:DY7" si="138">((5/BN$6)*100)</f>
        <v>78.392050603175903</v>
      </c>
      <c r="BO7" s="30">
        <f t="shared" si="138"/>
        <v>78.602882341200115</v>
      </c>
      <c r="BP7" s="30">
        <f t="shared" si="138"/>
        <v>78.192777084186972</v>
      </c>
      <c r="BQ7" s="30">
        <f t="shared" si="138"/>
        <v>78.641082101289712</v>
      </c>
      <c r="BR7" s="30">
        <f t="shared" si="138"/>
        <v>78.201081335173299</v>
      </c>
      <c r="BS7" s="30">
        <f t="shared" si="138"/>
        <v>78.171575440724467</v>
      </c>
      <c r="BT7" s="30">
        <f t="shared" si="138"/>
        <v>77.744046208002274</v>
      </c>
      <c r="BU7" s="30">
        <f t="shared" si="138"/>
        <v>77.325739721560112</v>
      </c>
      <c r="BV7" s="30">
        <f t="shared" si="138"/>
        <v>77.399056986624601</v>
      </c>
      <c r="BW7" s="30">
        <f t="shared" si="138"/>
        <v>77.520155240362485</v>
      </c>
      <c r="BX7" s="30">
        <f t="shared" si="138"/>
        <v>77.640331785785762</v>
      </c>
      <c r="BY7" s="30">
        <f t="shared" si="138"/>
        <v>77.200797632070845</v>
      </c>
      <c r="BZ7" s="30">
        <f t="shared" si="138"/>
        <v>77.099618418079018</v>
      </c>
      <c r="CA7" s="30">
        <f t="shared" si="138"/>
        <v>76.906263407999873</v>
      </c>
      <c r="CB7" s="30">
        <f t="shared" si="138"/>
        <v>77.118559893665207</v>
      </c>
      <c r="CC7" s="30">
        <f t="shared" si="138"/>
        <v>77.112397745747572</v>
      </c>
      <c r="CD7" s="30">
        <f t="shared" si="138"/>
        <v>77.137117821551868</v>
      </c>
      <c r="CE7" s="30">
        <f t="shared" si="138"/>
        <v>77.238400703267587</v>
      </c>
      <c r="CF7" s="30">
        <f t="shared" si="138"/>
        <v>77.415666548888979</v>
      </c>
      <c r="CG7" s="30">
        <f t="shared" si="138"/>
        <v>77.591926639208637</v>
      </c>
      <c r="CH7" s="30">
        <f t="shared" si="138"/>
        <v>77.629288230060112</v>
      </c>
      <c r="CI7" s="30">
        <f t="shared" si="138"/>
        <v>77.393088093659699</v>
      </c>
      <c r="CJ7" s="30">
        <f t="shared" si="138"/>
        <v>77.794118451904865</v>
      </c>
      <c r="CK7" s="30">
        <f t="shared" si="138"/>
        <v>77.603600807077456</v>
      </c>
      <c r="CL7" s="30">
        <f t="shared" si="138"/>
        <v>77.820529597741427</v>
      </c>
      <c r="CM7" s="30">
        <f t="shared" si="138"/>
        <v>77.51247874162712</v>
      </c>
      <c r="CN7" s="30">
        <f t="shared" si="138"/>
        <v>77.430733822125973</v>
      </c>
      <c r="CO7" s="30">
        <f t="shared" si="138"/>
        <v>77.526332350826408</v>
      </c>
      <c r="CP7" s="30">
        <f t="shared" si="138"/>
        <v>77.037838731618962</v>
      </c>
      <c r="CQ7" s="30">
        <f t="shared" si="138"/>
        <v>77.22019300549988</v>
      </c>
      <c r="CR7" s="30">
        <f t="shared" si="138"/>
        <v>76.912730431655049</v>
      </c>
      <c r="CS7" s="30">
        <f t="shared" si="138"/>
        <v>76.737816395919921</v>
      </c>
      <c r="CT7" s="30">
        <f t="shared" si="138"/>
        <v>76.861011020177301</v>
      </c>
      <c r="CU7" s="30">
        <f t="shared" si="138"/>
        <v>76.492700410875074</v>
      </c>
      <c r="CV7" s="30">
        <f t="shared" si="138"/>
        <v>76.740499998908902</v>
      </c>
      <c r="CW7" s="30">
        <f t="shared" si="138"/>
        <v>77.043506322655304</v>
      </c>
      <c r="CX7" s="30">
        <f t="shared" si="138"/>
        <v>77.247858275929332</v>
      </c>
      <c r="CY7" s="30">
        <f t="shared" si="138"/>
        <v>77.311468397672854</v>
      </c>
      <c r="CZ7" s="30">
        <f t="shared" si="138"/>
        <v>77.640031922692188</v>
      </c>
      <c r="DA7" s="30">
        <f t="shared" si="138"/>
        <v>77.395609089111019</v>
      </c>
      <c r="DB7" s="30">
        <f t="shared" si="138"/>
        <v>77.527079101200357</v>
      </c>
      <c r="DC7" s="30">
        <f t="shared" si="138"/>
        <v>77.713151489311954</v>
      </c>
      <c r="DD7" s="30">
        <f t="shared" si="138"/>
        <v>77.44388500962215</v>
      </c>
      <c r="DE7" s="30">
        <f t="shared" si="138"/>
        <v>77.683067209977324</v>
      </c>
      <c r="DF7" s="30">
        <f t="shared" si="138"/>
        <v>77.579627940741787</v>
      </c>
      <c r="DG7" s="30">
        <f t="shared" si="138"/>
        <v>77.53150852567201</v>
      </c>
      <c r="DH7" s="30">
        <f t="shared" si="138"/>
        <v>77.551244680088942</v>
      </c>
      <c r="DI7" s="30">
        <f t="shared" si="138"/>
        <v>77.908057362589659</v>
      </c>
      <c r="DJ7" s="30">
        <f t="shared" si="138"/>
        <v>77.980141057410719</v>
      </c>
      <c r="DK7" s="30">
        <f t="shared" si="138"/>
        <v>77.716216141864408</v>
      </c>
      <c r="DL7" s="30">
        <f t="shared" si="138"/>
        <v>77.868208571540308</v>
      </c>
      <c r="DM7" s="30">
        <f t="shared" si="138"/>
        <v>78.072887203853796</v>
      </c>
      <c r="DN7" s="30">
        <f t="shared" si="138"/>
        <v>77.917287906760563</v>
      </c>
      <c r="DO7" s="30">
        <f t="shared" si="138"/>
        <v>78.080443225333369</v>
      </c>
      <c r="DP7" s="30">
        <f t="shared" si="138"/>
        <v>77.808010250447481</v>
      </c>
      <c r="DQ7" s="30">
        <f t="shared" si="138"/>
        <v>77.838975316992503</v>
      </c>
      <c r="DR7" s="30">
        <f t="shared" si="138"/>
        <v>77.687953165834116</v>
      </c>
      <c r="DS7" s="30">
        <f t="shared" si="138"/>
        <v>77.91315280567261</v>
      </c>
      <c r="DT7" s="30">
        <f t="shared" si="138"/>
        <v>77.531911804975891</v>
      </c>
      <c r="DU7" s="30">
        <f t="shared" si="138"/>
        <v>77.767774879426995</v>
      </c>
      <c r="DV7" s="30">
        <f t="shared" si="138"/>
        <v>77.467638466049237</v>
      </c>
      <c r="DW7" s="30">
        <f t="shared" si="138"/>
        <v>77.473756578758923</v>
      </c>
      <c r="DX7" s="30">
        <f t="shared" si="138"/>
        <v>77.27940287272439</v>
      </c>
      <c r="DY7" s="30">
        <f t="shared" si="138"/>
        <v>77.523386221510151</v>
      </c>
      <c r="DZ7" s="30">
        <f t="shared" ref="DZ7:GK7" si="139">((5/DZ$6)*100)</f>
        <v>77.33018964186175</v>
      </c>
      <c r="EA7" s="30">
        <f t="shared" si="139"/>
        <v>77.559826830059379</v>
      </c>
      <c r="EB7" s="30">
        <f t="shared" si="139"/>
        <v>77.44185646295314</v>
      </c>
      <c r="EC7" s="30">
        <f t="shared" si="139"/>
        <v>77.202876503241257</v>
      </c>
      <c r="ED7" s="30">
        <f t="shared" si="139"/>
        <v>77.405005102411565</v>
      </c>
      <c r="EE7" s="30">
        <f t="shared" si="139"/>
        <v>76.999257551874351</v>
      </c>
      <c r="EF7" s="30">
        <f t="shared" si="139"/>
        <v>76.851227846155666</v>
      </c>
      <c r="EG7" s="30">
        <f t="shared" si="139"/>
        <v>77.17038598884514</v>
      </c>
      <c r="EH7" s="30">
        <f t="shared" si="139"/>
        <v>76.998386435420002</v>
      </c>
      <c r="EI7" s="30">
        <f t="shared" si="139"/>
        <v>77.065351418002464</v>
      </c>
      <c r="EJ7" s="30">
        <f t="shared" si="139"/>
        <v>77.143751079551492</v>
      </c>
      <c r="EK7" s="30">
        <f t="shared" si="139"/>
        <v>77.209856389667124</v>
      </c>
      <c r="EL7" s="30">
        <f t="shared" si="139"/>
        <v>77.181255144145908</v>
      </c>
      <c r="EM7" s="30">
        <f t="shared" si="139"/>
        <v>77.258503302040594</v>
      </c>
      <c r="EN7" s="30">
        <f t="shared" si="139"/>
        <v>77.066515958813241</v>
      </c>
      <c r="EO7" s="30">
        <f t="shared" si="139"/>
        <v>77.37654813546699</v>
      </c>
      <c r="EP7" s="30">
        <f t="shared" si="139"/>
        <v>77.277847237632685</v>
      </c>
      <c r="EQ7" s="30">
        <f t="shared" si="139"/>
        <v>77.31893882453636</v>
      </c>
      <c r="ER7" s="30">
        <f t="shared" si="139"/>
        <v>77.53344265848105</v>
      </c>
      <c r="ES7" s="30">
        <f t="shared" si="139"/>
        <v>77.331239441311538</v>
      </c>
      <c r="ET7" s="30">
        <f t="shared" si="139"/>
        <v>77.406129497785471</v>
      </c>
      <c r="EU7" s="30">
        <f t="shared" si="139"/>
        <v>77.172494073623739</v>
      </c>
      <c r="EV7" s="30">
        <f t="shared" si="139"/>
        <v>77.224430638660735</v>
      </c>
      <c r="EW7" s="30">
        <f t="shared" si="139"/>
        <v>76.915815639782252</v>
      </c>
      <c r="EX7" s="30">
        <f t="shared" si="139"/>
        <v>76.811816845845939</v>
      </c>
      <c r="EY7" s="30">
        <f t="shared" si="139"/>
        <v>77.109137838671444</v>
      </c>
      <c r="EZ7" s="30">
        <f t="shared" si="139"/>
        <v>76.960282153112331</v>
      </c>
      <c r="FA7" s="30">
        <f t="shared" si="139"/>
        <v>76.813104544928208</v>
      </c>
      <c r="FB7" s="30">
        <f t="shared" si="139"/>
        <v>76.820839523265278</v>
      </c>
      <c r="FC7" s="30">
        <f t="shared" si="139"/>
        <v>76.927021898558891</v>
      </c>
      <c r="FD7" s="30">
        <f t="shared" si="139"/>
        <v>77.043661296732964</v>
      </c>
      <c r="FE7" s="30">
        <f t="shared" si="139"/>
        <v>76.898024173120078</v>
      </c>
      <c r="FF7" s="30">
        <f t="shared" si="139"/>
        <v>76.992107321921196</v>
      </c>
      <c r="FG7" s="30">
        <f t="shared" si="139"/>
        <v>77.085731712394818</v>
      </c>
      <c r="FH7" s="30">
        <f t="shared" si="139"/>
        <v>76.844620178000085</v>
      </c>
      <c r="FI7" s="30">
        <f t="shared" si="139"/>
        <v>76.606743169787194</v>
      </c>
      <c r="FJ7" s="30">
        <f t="shared" si="139"/>
        <v>76.891432073775803</v>
      </c>
      <c r="FK7" s="30">
        <f t="shared" si="139"/>
        <v>76.665376040911738</v>
      </c>
      <c r="FL7" s="30">
        <f t="shared" si="139"/>
        <v>76.895219101764624</v>
      </c>
      <c r="FM7" s="30">
        <f t="shared" si="139"/>
        <v>76.628771914460387</v>
      </c>
      <c r="FN7" s="30">
        <f t="shared" si="139"/>
        <v>76.909476178042425</v>
      </c>
      <c r="FO7" s="30">
        <f t="shared" si="139"/>
        <v>76.717742909593852</v>
      </c>
      <c r="FP7" s="30">
        <f t="shared" si="139"/>
        <v>76.996787900784597</v>
      </c>
      <c r="FQ7" s="30">
        <f t="shared" si="139"/>
        <v>76.836833196975007</v>
      </c>
      <c r="FR7" s="30">
        <f t="shared" si="139"/>
        <v>76.864780018393603</v>
      </c>
      <c r="FS7" s="30">
        <f t="shared" si="139"/>
        <v>76.851227846155652</v>
      </c>
      <c r="FT7" s="30">
        <f t="shared" si="139"/>
        <v>76.961402917882992</v>
      </c>
      <c r="FU7" s="30">
        <f t="shared" si="139"/>
        <v>77.122722603491738</v>
      </c>
      <c r="FV7" s="30">
        <f t="shared" si="139"/>
        <v>77.252608545261197</v>
      </c>
      <c r="FW7" s="30">
        <f t="shared" si="139"/>
        <v>76.869248059714153</v>
      </c>
      <c r="FX7" s="30">
        <f t="shared" si="139"/>
        <v>76.693867073451642</v>
      </c>
      <c r="FY7" s="30">
        <f t="shared" si="139"/>
        <v>76.964194780562437</v>
      </c>
      <c r="FZ7" s="30">
        <f t="shared" si="139"/>
        <v>77.092319763155558</v>
      </c>
      <c r="GA7" s="30">
        <f t="shared" si="139"/>
        <v>76.866683887592671</v>
      </c>
      <c r="GB7" s="30">
        <f t="shared" si="139"/>
        <v>76.93370922187421</v>
      </c>
      <c r="GC7" s="30">
        <f t="shared" si="139"/>
        <v>76.840485382655231</v>
      </c>
      <c r="GD7" s="30">
        <f t="shared" si="139"/>
        <v>77.046758821853871</v>
      </c>
      <c r="GE7" s="30">
        <f t="shared" si="139"/>
        <v>77.28279902737782</v>
      </c>
      <c r="GF7" s="30">
        <f t="shared" si="139"/>
        <v>77.30824581643455</v>
      </c>
      <c r="GG7" s="30">
        <f t="shared" si="139"/>
        <v>77.373429964150304</v>
      </c>
      <c r="GH7" s="30">
        <f t="shared" si="139"/>
        <v>77.528045319649948</v>
      </c>
      <c r="GI7" s="30">
        <f t="shared" si="139"/>
        <v>77.463069097057641</v>
      </c>
      <c r="GJ7" s="30">
        <f t="shared" si="139"/>
        <v>77.636608402484583</v>
      </c>
      <c r="GK7" s="30">
        <f t="shared" si="139"/>
        <v>77.423350882626195</v>
      </c>
      <c r="GL7" s="30">
        <f t="shared" ref="GL7:IW7" si="140">((5/GL$6)*100)</f>
        <v>77.369340940050165</v>
      </c>
      <c r="GM7" s="30">
        <f t="shared" si="140"/>
        <v>77.590220183802614</v>
      </c>
      <c r="GN7" s="30">
        <f t="shared" si="140"/>
        <v>77.408709412747783</v>
      </c>
      <c r="GO7" s="30">
        <f t="shared" si="140"/>
        <v>77.530541495453392</v>
      </c>
      <c r="GP7" s="30">
        <f t="shared" si="140"/>
        <v>77.467023867364432</v>
      </c>
      <c r="GQ7" s="30">
        <f t="shared" si="140"/>
        <v>77.326787994891447</v>
      </c>
      <c r="GR7" s="30">
        <f t="shared" si="140"/>
        <v>77.054086022091468</v>
      </c>
      <c r="GS7" s="30">
        <f t="shared" si="140"/>
        <v>77.30824581643455</v>
      </c>
      <c r="GT7" s="30">
        <f t="shared" si="140"/>
        <v>77.170424348575594</v>
      </c>
      <c r="GU7" s="30">
        <f t="shared" si="140"/>
        <v>77.27092860953671</v>
      </c>
      <c r="GV7" s="30">
        <f t="shared" si="140"/>
        <v>77.352054986260811</v>
      </c>
      <c r="GW7" s="30">
        <f t="shared" si="140"/>
        <v>77.205814086445102</v>
      </c>
      <c r="GX7" s="30">
        <f t="shared" si="140"/>
        <v>77.333633885500348</v>
      </c>
      <c r="GY7" s="30">
        <f t="shared" si="140"/>
        <v>77.179070977562731</v>
      </c>
      <c r="GZ7" s="30">
        <f t="shared" si="140"/>
        <v>77.324822916459624</v>
      </c>
      <c r="HA7" s="30">
        <f t="shared" si="140"/>
        <v>77.227158861092477</v>
      </c>
      <c r="HB7" s="30">
        <f t="shared" si="140"/>
        <v>77.195267473184856</v>
      </c>
      <c r="HC7" s="30">
        <f t="shared" si="140"/>
        <v>77.219114272778199</v>
      </c>
      <c r="HD7" s="30">
        <f t="shared" si="140"/>
        <v>77.289035629048982</v>
      </c>
      <c r="HE7" s="30">
        <f t="shared" si="140"/>
        <v>77.201971795546314</v>
      </c>
      <c r="HF7" s="30">
        <f t="shared" si="140"/>
        <v>77.152251065294536</v>
      </c>
      <c r="HG7" s="30">
        <f t="shared" si="140"/>
        <v>77.166776814744821</v>
      </c>
      <c r="HH7" s="30">
        <f t="shared" si="140"/>
        <v>76.963233227781515</v>
      </c>
      <c r="HI7" s="30">
        <f t="shared" si="140"/>
        <v>77.15018506635856</v>
      </c>
      <c r="HJ7" s="30">
        <f t="shared" si="140"/>
        <v>77.020067824480392</v>
      </c>
      <c r="HK7" s="30">
        <f t="shared" si="140"/>
        <v>77.124787906833262</v>
      </c>
      <c r="HL7" s="30">
        <f t="shared" si="140"/>
        <v>76.932981843351428</v>
      </c>
      <c r="HM7" s="30">
        <f t="shared" si="140"/>
        <v>76.672381684353653</v>
      </c>
      <c r="HN7" s="30">
        <f t="shared" si="140"/>
        <v>76.909254931777099</v>
      </c>
      <c r="HO7" s="30">
        <f t="shared" si="140"/>
        <v>76.747311086723542</v>
      </c>
      <c r="HP7" s="30">
        <f t="shared" si="140"/>
        <v>76.490829092088106</v>
      </c>
      <c r="HQ7" s="30">
        <f t="shared" si="140"/>
        <v>76.716252155361374</v>
      </c>
      <c r="HR7" s="30">
        <f t="shared" si="140"/>
        <v>76.452911585497262</v>
      </c>
      <c r="HS7" s="30">
        <f t="shared" si="140"/>
        <v>76.572662019144062</v>
      </c>
      <c r="HT7" s="30">
        <f t="shared" si="140"/>
        <v>76.527606148756107</v>
      </c>
      <c r="HU7" s="30">
        <f t="shared" si="140"/>
        <v>76.620754308790666</v>
      </c>
      <c r="HV7" s="30">
        <f t="shared" si="140"/>
        <v>76.541388689741623</v>
      </c>
      <c r="HW7" s="30">
        <f t="shared" si="140"/>
        <v>76.642571317929523</v>
      </c>
      <c r="HX7" s="30">
        <f t="shared" si="140"/>
        <v>76.597755484778929</v>
      </c>
      <c r="HY7" s="30">
        <f t="shared" si="140"/>
        <v>76.417205955921489</v>
      </c>
      <c r="HZ7" s="30">
        <f t="shared" si="140"/>
        <v>76.602490802150186</v>
      </c>
      <c r="IA7" s="30">
        <f t="shared" si="140"/>
        <v>76.524360844652023</v>
      </c>
      <c r="IB7" s="30">
        <f t="shared" si="140"/>
        <v>76.295562412628399</v>
      </c>
      <c r="IC7" s="30">
        <f t="shared" si="140"/>
        <v>76.495823064281993</v>
      </c>
      <c r="ID7" s="30">
        <f t="shared" si="140"/>
        <v>76.57817973886182</v>
      </c>
      <c r="IE7" s="30">
        <f t="shared" si="140"/>
        <v>76.668638145933272</v>
      </c>
      <c r="IF7" s="30">
        <f t="shared" si="140"/>
        <v>76.449502163455577</v>
      </c>
      <c r="IG7" s="30">
        <f t="shared" si="140"/>
        <v>76.307216321419872</v>
      </c>
      <c r="IH7" s="30">
        <f t="shared" si="140"/>
        <v>76.372244811771623</v>
      </c>
      <c r="II7" s="30">
        <f t="shared" si="140"/>
        <v>76.585846243312801</v>
      </c>
      <c r="IJ7" s="30">
        <f t="shared" si="140"/>
        <v>76.501531108108509</v>
      </c>
      <c r="IK7" s="30">
        <f t="shared" si="140"/>
        <v>76.664722770887053</v>
      </c>
      <c r="IL7" s="30">
        <f t="shared" si="140"/>
        <v>76.794639088858503</v>
      </c>
      <c r="IM7" s="30">
        <f t="shared" si="140"/>
        <v>76.636095001357191</v>
      </c>
      <c r="IN7" s="30">
        <f t="shared" si="140"/>
        <v>76.7160569912689</v>
      </c>
      <c r="IO7" s="30">
        <f t="shared" si="140"/>
        <v>76.64858327868572</v>
      </c>
      <c r="IP7" s="30">
        <f t="shared" si="140"/>
        <v>76.72809306671347</v>
      </c>
      <c r="IQ7" s="30">
        <f t="shared" si="140"/>
        <v>76.498935354595815</v>
      </c>
      <c r="IR7" s="30">
        <f t="shared" si="140"/>
        <v>76.240354965011349</v>
      </c>
      <c r="IS7" s="30">
        <f t="shared" si="140"/>
        <v>76.455746825616202</v>
      </c>
      <c r="IT7" s="30">
        <f t="shared" si="140"/>
        <v>76.47037872740718</v>
      </c>
      <c r="IU7" s="30">
        <f t="shared" si="140"/>
        <v>76.381184684695953</v>
      </c>
      <c r="IV7" s="30">
        <f t="shared" si="140"/>
        <v>76.547287660535517</v>
      </c>
      <c r="IW7" s="30">
        <f t="shared" si="140"/>
        <v>76.252235765282364</v>
      </c>
      <c r="IX7" s="30">
        <f t="shared" ref="IX7:LI7" si="141">((5/IX$6)*100)</f>
        <v>76.464734837291743</v>
      </c>
      <c r="IY7" s="30">
        <f t="shared" si="141"/>
        <v>76.219198174035213</v>
      </c>
      <c r="IZ7" s="30">
        <f t="shared" si="141"/>
        <v>76.398976459642597</v>
      </c>
      <c r="JA7" s="30">
        <f t="shared" si="141"/>
        <v>76.272458343345789</v>
      </c>
      <c r="JB7" s="30">
        <f t="shared" si="141"/>
        <v>76.451377129109375</v>
      </c>
      <c r="JC7" s="30">
        <f t="shared" si="141"/>
        <v>76.061340420460581</v>
      </c>
      <c r="JD7" s="30">
        <f t="shared" si="141"/>
        <v>76.26989373061474</v>
      </c>
      <c r="JE7" s="30">
        <f t="shared" si="141"/>
        <v>76.11465458117101</v>
      </c>
      <c r="JF7" s="30">
        <f t="shared" si="141"/>
        <v>75.922620953596166</v>
      </c>
      <c r="JG7" s="30">
        <f t="shared" si="141"/>
        <v>76.121462466480381</v>
      </c>
      <c r="JH7" s="30">
        <f t="shared" si="141"/>
        <v>76.067544768459641</v>
      </c>
      <c r="JI7" s="30">
        <f t="shared" si="141"/>
        <v>76.15871476156309</v>
      </c>
      <c r="JJ7" s="30">
        <f t="shared" si="141"/>
        <v>75.983507789605852</v>
      </c>
      <c r="JK7" s="30">
        <f t="shared" si="141"/>
        <v>76.172822175144844</v>
      </c>
      <c r="JL7" s="30">
        <f t="shared" si="141"/>
        <v>76.33164845668567</v>
      </c>
      <c r="JM7" s="30">
        <f t="shared" si="141"/>
        <v>76.421803777466081</v>
      </c>
      <c r="JN7" s="30">
        <f t="shared" si="141"/>
        <v>76.110872784135736</v>
      </c>
      <c r="JO7" s="30">
        <f t="shared" si="141"/>
        <v>76.193093036898773</v>
      </c>
      <c r="JP7" s="30">
        <f t="shared" si="141"/>
        <v>76.297621446295352</v>
      </c>
      <c r="JQ7" s="30">
        <f t="shared" si="141"/>
        <v>76.296729780580037</v>
      </c>
      <c r="JR7" s="30">
        <f t="shared" si="141"/>
        <v>76.340761609977619</v>
      </c>
      <c r="JS7" s="30">
        <f t="shared" si="141"/>
        <v>76.049482863516531</v>
      </c>
      <c r="JT7" s="30">
        <f t="shared" si="141"/>
        <v>76.234581019812026</v>
      </c>
      <c r="JU7" s="30">
        <f t="shared" si="141"/>
        <v>76.211628805818208</v>
      </c>
      <c r="JV7" s="30">
        <f t="shared" si="141"/>
        <v>76.159277924777896</v>
      </c>
      <c r="JW7" s="30">
        <f t="shared" si="141"/>
        <v>76.358009761421911</v>
      </c>
      <c r="JX7" s="30">
        <f t="shared" si="141"/>
        <v>76.114205993945561</v>
      </c>
      <c r="JY7" s="30">
        <f t="shared" si="141"/>
        <v>76.201677360558634</v>
      </c>
      <c r="JZ7" s="30">
        <f t="shared" si="141"/>
        <v>76.222995076032916</v>
      </c>
      <c r="KA7" s="30">
        <f t="shared" si="141"/>
        <v>76.273440668078678</v>
      </c>
      <c r="KB7" s="30">
        <f t="shared" si="141"/>
        <v>76.316400528361967</v>
      </c>
      <c r="KC7" s="30">
        <f t="shared" si="141"/>
        <v>76.293654275305656</v>
      </c>
      <c r="KD7" s="30">
        <f t="shared" si="141"/>
        <v>76.401820992629226</v>
      </c>
      <c r="KE7" s="30">
        <f t="shared" si="141"/>
        <v>76.190736116228393</v>
      </c>
      <c r="KF7" s="30">
        <f t="shared" si="141"/>
        <v>76.312778622120717</v>
      </c>
      <c r="KG7" s="30">
        <f t="shared" si="141"/>
        <v>76.132126174300353</v>
      </c>
      <c r="KH7" s="30">
        <f t="shared" si="141"/>
        <v>76.325376020262979</v>
      </c>
      <c r="KI7" s="30">
        <f t="shared" si="141"/>
        <v>76.145521217968252</v>
      </c>
      <c r="KJ7" s="30">
        <f t="shared" si="141"/>
        <v>76.337853709663335</v>
      </c>
      <c r="KK7" s="30">
        <f t="shared" si="141"/>
        <v>76.109065783602531</v>
      </c>
      <c r="KL7" s="30">
        <f t="shared" si="141"/>
        <v>76.300361503277543</v>
      </c>
      <c r="KM7" s="30">
        <f t="shared" si="141"/>
        <v>76.129501853103477</v>
      </c>
      <c r="KN7" s="30">
        <f t="shared" si="141"/>
        <v>76.256195583968463</v>
      </c>
      <c r="KO7" s="30">
        <f t="shared" si="141"/>
        <v>76.114579784706592</v>
      </c>
      <c r="KP7" s="30">
        <f t="shared" si="141"/>
        <v>76.205476535171329</v>
      </c>
      <c r="KQ7" s="30">
        <f t="shared" si="141"/>
        <v>76.310213181981055</v>
      </c>
      <c r="KR7" s="30">
        <f t="shared" si="141"/>
        <v>76.267277294955875</v>
      </c>
      <c r="KS7" s="30">
        <f t="shared" si="141"/>
        <v>76.329490926331772</v>
      </c>
      <c r="KT7" s="30">
        <f t="shared" si="141"/>
        <v>76.32858412123835</v>
      </c>
      <c r="KU7" s="30">
        <f t="shared" si="141"/>
        <v>76.40441551718844</v>
      </c>
      <c r="KV7" s="30">
        <f t="shared" si="141"/>
        <v>76.167221772409434</v>
      </c>
      <c r="KW7" s="30">
        <f t="shared" si="141"/>
        <v>76.201258409353159</v>
      </c>
      <c r="KX7" s="30">
        <f t="shared" si="141"/>
        <v>76.069865744817946</v>
      </c>
      <c r="KY7" s="30">
        <f t="shared" si="141"/>
        <v>76.186322135990054</v>
      </c>
      <c r="KZ7" s="30">
        <f t="shared" si="141"/>
        <v>76.226956663082973</v>
      </c>
      <c r="LA7" s="30">
        <f t="shared" si="141"/>
        <v>76.24687010194782</v>
      </c>
      <c r="LB7" s="30">
        <f t="shared" si="141"/>
        <v>76.314631759456276</v>
      </c>
      <c r="LC7" s="30">
        <f t="shared" si="141"/>
        <v>76.156887478735072</v>
      </c>
      <c r="LD7" s="30">
        <f t="shared" si="141"/>
        <v>76.340217778796443</v>
      </c>
      <c r="LE7" s="30">
        <f t="shared" si="141"/>
        <v>76.210174841810456</v>
      </c>
      <c r="LF7" s="30">
        <f t="shared" si="141"/>
        <v>76.392779261906853</v>
      </c>
      <c r="LG7" s="30">
        <f t="shared" si="141"/>
        <v>76.168477586982632</v>
      </c>
      <c r="LH7" s="30">
        <f t="shared" si="141"/>
        <v>76.350130716383873</v>
      </c>
      <c r="LI7" s="30">
        <f t="shared" si="141"/>
        <v>76.14733946131399</v>
      </c>
      <c r="LJ7" s="30">
        <f t="shared" ref="LJ7:NU7" si="142">((5/LJ$6)*100)</f>
        <v>76.328100128365179</v>
      </c>
      <c r="LK7" s="30">
        <f t="shared" si="142"/>
        <v>76.119731777918403</v>
      </c>
      <c r="LL7" s="30">
        <f t="shared" si="142"/>
        <v>76.026222929858378</v>
      </c>
      <c r="LM7" s="30">
        <f t="shared" si="142"/>
        <v>76.205444284731499</v>
      </c>
      <c r="LN7" s="30">
        <f t="shared" si="142"/>
        <v>76.012664370863874</v>
      </c>
      <c r="LO7" s="30">
        <f t="shared" si="142"/>
        <v>76.191032837291445</v>
      </c>
      <c r="LP7" s="30">
        <f t="shared" si="142"/>
        <v>75.992656235881213</v>
      </c>
      <c r="LQ7" s="30">
        <f t="shared" si="142"/>
        <v>76.17016414670374</v>
      </c>
      <c r="LR7" s="30">
        <f t="shared" si="142"/>
        <v>75.868278904868063</v>
      </c>
      <c r="LS7" s="30">
        <f t="shared" si="142"/>
        <v>76.044685371135913</v>
      </c>
      <c r="LT7" s="30">
        <f t="shared" si="142"/>
        <v>76.031427238610647</v>
      </c>
      <c r="LU7" s="30">
        <f t="shared" si="142"/>
        <v>76.031250899018161</v>
      </c>
      <c r="LV7" s="30">
        <f t="shared" si="142"/>
        <v>76.011594757420525</v>
      </c>
      <c r="LW7" s="30">
        <f t="shared" si="142"/>
        <v>76.102254128291335</v>
      </c>
      <c r="LX7" s="30">
        <f t="shared" si="142"/>
        <v>75.927409998841554</v>
      </c>
      <c r="LY7" s="30">
        <f t="shared" si="142"/>
        <v>76.030553420967578</v>
      </c>
      <c r="LZ7" s="30">
        <f t="shared" si="142"/>
        <v>75.953212820902323</v>
      </c>
      <c r="MA7" s="30">
        <f t="shared" si="142"/>
        <v>75.99169157505446</v>
      </c>
      <c r="MB7" s="30">
        <f t="shared" si="142"/>
        <v>75.793657062439522</v>
      </c>
      <c r="MC7" s="30">
        <f t="shared" si="142"/>
        <v>75.921318639086849</v>
      </c>
      <c r="MD7" s="30">
        <f t="shared" si="142"/>
        <v>75.985063315853964</v>
      </c>
      <c r="ME7" s="30">
        <f t="shared" si="142"/>
        <v>75.953212820902323</v>
      </c>
      <c r="MF7" s="30">
        <f t="shared" si="142"/>
        <v>75.769812973457249</v>
      </c>
      <c r="MG7" s="30">
        <f t="shared" si="142"/>
        <v>75.94056385202515</v>
      </c>
      <c r="MH7" s="30">
        <f t="shared" si="142"/>
        <v>75.902752795197756</v>
      </c>
      <c r="MI7" s="30">
        <f t="shared" si="142"/>
        <v>76.003629588179805</v>
      </c>
      <c r="MJ7" s="30">
        <f t="shared" si="142"/>
        <v>76.053893213706132</v>
      </c>
      <c r="MK7" s="30">
        <f t="shared" si="142"/>
        <v>76.041101868627422</v>
      </c>
      <c r="ML7" s="30">
        <f t="shared" si="142"/>
        <v>75.828280033673678</v>
      </c>
      <c r="MM7" s="30">
        <f t="shared" si="142"/>
        <v>75.946969946041492</v>
      </c>
      <c r="MN7" s="30">
        <f t="shared" si="142"/>
        <v>75.984375117956304</v>
      </c>
      <c r="MO7" s="30">
        <f t="shared" si="142"/>
        <v>75.804309867107207</v>
      </c>
      <c r="MP7" s="30">
        <f t="shared" si="142"/>
        <v>75.847906190004707</v>
      </c>
      <c r="MQ7" s="30">
        <f t="shared" si="142"/>
        <v>75.909908947204499</v>
      </c>
      <c r="MR7" s="30">
        <f t="shared" si="142"/>
        <v>75.91617164012419</v>
      </c>
      <c r="MS7" s="30">
        <f t="shared" si="142"/>
        <v>75.762628561733919</v>
      </c>
      <c r="MT7" s="30">
        <f t="shared" si="142"/>
        <v>75.916329521545833</v>
      </c>
      <c r="MU7" s="30">
        <f t="shared" si="142"/>
        <v>75.781761426116006</v>
      </c>
      <c r="MV7" s="30">
        <f t="shared" si="142"/>
        <v>75.843138997769145</v>
      </c>
      <c r="MW7" s="30">
        <f t="shared" si="142"/>
        <v>75.849465807639334</v>
      </c>
      <c r="MX7" s="30">
        <f t="shared" si="142"/>
        <v>75.928827880423484</v>
      </c>
      <c r="MY7" s="30">
        <f t="shared" si="142"/>
        <v>75.874185873187031</v>
      </c>
      <c r="MZ7" s="30">
        <f t="shared" si="142"/>
        <v>75.941069729889605</v>
      </c>
      <c r="NA7" s="30">
        <f t="shared" si="142"/>
        <v>75.935037894136343</v>
      </c>
      <c r="NB7" s="30">
        <f t="shared" si="142"/>
        <v>75.748167990062868</v>
      </c>
      <c r="NC7" s="30">
        <f t="shared" si="142"/>
        <v>75.622764540454057</v>
      </c>
      <c r="ND7" s="30">
        <f t="shared" si="142"/>
        <v>75.784975715582618</v>
      </c>
      <c r="NE7" s="30">
        <f t="shared" si="142"/>
        <v>75.671823911665754</v>
      </c>
      <c r="NF7" s="30">
        <f t="shared" si="142"/>
        <v>75.559477876153466</v>
      </c>
      <c r="NG7" s="30">
        <f t="shared" si="142"/>
        <v>75.714591804099641</v>
      </c>
      <c r="NH7" s="30">
        <f t="shared" si="142"/>
        <v>75.626170600741105</v>
      </c>
      <c r="NI7" s="30">
        <f t="shared" si="142"/>
        <v>75.739271626065829</v>
      </c>
      <c r="NJ7" s="30">
        <f t="shared" si="142"/>
        <v>75.775211662820624</v>
      </c>
      <c r="NK7" s="30">
        <f t="shared" si="142"/>
        <v>75.610531706949757</v>
      </c>
      <c r="NL7" s="30">
        <f t="shared" si="142"/>
        <v>75.464774685736487</v>
      </c>
      <c r="NM7" s="30">
        <f t="shared" si="142"/>
        <v>75.483278597644428</v>
      </c>
      <c r="NN7" s="30">
        <f t="shared" si="142"/>
        <v>75.484233674489147</v>
      </c>
      <c r="NO7" s="30">
        <f t="shared" si="142"/>
        <v>75.572500246767348</v>
      </c>
      <c r="NP7" s="30">
        <f t="shared" si="142"/>
        <v>75.625652097972647</v>
      </c>
      <c r="NQ7" s="30">
        <f t="shared" si="142"/>
        <v>75.516041633283066</v>
      </c>
      <c r="NR7" s="30">
        <f t="shared" si="142"/>
        <v>75.6734089166914</v>
      </c>
      <c r="NS7" s="30">
        <f t="shared" si="142"/>
        <v>75.517801410807053</v>
      </c>
      <c r="NT7" s="30">
        <f t="shared" si="142"/>
        <v>75.386412474852165</v>
      </c>
      <c r="NU7" s="30">
        <f t="shared" si="142"/>
        <v>75.267426989078331</v>
      </c>
      <c r="NV7" s="30">
        <f t="shared" ref="NV7:QG7" si="143">((5/NV$6)*100)</f>
        <v>75.092520936006366</v>
      </c>
      <c r="NW7" s="30">
        <f t="shared" si="143"/>
        <v>75.247409857229371</v>
      </c>
      <c r="NX7" s="30">
        <f t="shared" si="143"/>
        <v>75.163801354273957</v>
      </c>
      <c r="NY7" s="30">
        <f t="shared" si="143"/>
        <v>75.318219477291564</v>
      </c>
      <c r="NZ7" s="30">
        <f t="shared" si="143"/>
        <v>75.234646500778027</v>
      </c>
      <c r="OA7" s="30">
        <f t="shared" si="143"/>
        <v>75.388596678816938</v>
      </c>
      <c r="OB7" s="30">
        <f t="shared" si="143"/>
        <v>75.350183611769495</v>
      </c>
      <c r="OC7" s="30">
        <f t="shared" si="143"/>
        <v>75.233267912235007</v>
      </c>
      <c r="OD7" s="30">
        <f t="shared" si="143"/>
        <v>75.386298801432488</v>
      </c>
      <c r="OE7" s="30">
        <f t="shared" si="143"/>
        <v>75.539344951463733</v>
      </c>
      <c r="OF7" s="30">
        <f t="shared" si="143"/>
        <v>75.528903436520409</v>
      </c>
      <c r="OG7" s="30">
        <f t="shared" si="143"/>
        <v>75.580301987940473</v>
      </c>
      <c r="OH7" s="30">
        <f t="shared" si="143"/>
        <v>75.547377110836763</v>
      </c>
      <c r="OI7" s="30">
        <f t="shared" si="143"/>
        <v>75.469911182273151</v>
      </c>
      <c r="OJ7" s="30">
        <f t="shared" si="143"/>
        <v>75.187682285988046</v>
      </c>
      <c r="OK7" s="30">
        <f t="shared" si="143"/>
        <v>75.338523058885301</v>
      </c>
      <c r="OL7" s="30">
        <f t="shared" si="143"/>
        <v>75.289954382799962</v>
      </c>
      <c r="OM7" s="30">
        <f t="shared" si="143"/>
        <v>75.44041645458222</v>
      </c>
      <c r="ON7" s="30">
        <f t="shared" si="143"/>
        <v>75.491168999075057</v>
      </c>
      <c r="OO7" s="30">
        <f t="shared" si="143"/>
        <v>75.558385252877514</v>
      </c>
      <c r="OP7" s="30">
        <f t="shared" si="143"/>
        <v>75.56466683874558</v>
      </c>
      <c r="OQ7" s="30">
        <f t="shared" si="143"/>
        <v>75.66475430573351</v>
      </c>
      <c r="OR7" s="30">
        <f t="shared" si="143"/>
        <v>75.439840433835769</v>
      </c>
      <c r="OS7" s="30">
        <f t="shared" si="143"/>
        <v>75.501065726581601</v>
      </c>
      <c r="OT7" s="30">
        <f t="shared" si="143"/>
        <v>75.649928720633383</v>
      </c>
      <c r="OU7" s="30">
        <f t="shared" si="143"/>
        <v>75.513710222936155</v>
      </c>
      <c r="OV7" s="30">
        <f t="shared" si="143"/>
        <v>75.509094442386271</v>
      </c>
      <c r="OW7" s="30">
        <f t="shared" si="143"/>
        <v>75.613450189783975</v>
      </c>
      <c r="OX7" s="30">
        <f t="shared" si="143"/>
        <v>75.597762306235737</v>
      </c>
      <c r="OY7" s="30">
        <f t="shared" si="143"/>
        <v>75.641920925143836</v>
      </c>
      <c r="OZ7" s="30">
        <f t="shared" si="143"/>
        <v>75.425985067658686</v>
      </c>
      <c r="PA7" s="30">
        <f t="shared" si="143"/>
        <v>75.330125715707524</v>
      </c>
      <c r="PB7" s="30">
        <f t="shared" si="143"/>
        <v>75.261630198209829</v>
      </c>
      <c r="PC7" s="30">
        <f t="shared" si="143"/>
        <v>75.305698510083857</v>
      </c>
      <c r="PD7" s="30">
        <f t="shared" si="143"/>
        <v>75.301567889255921</v>
      </c>
      <c r="PE7" s="30">
        <f t="shared" si="143"/>
        <v>75.34544185569591</v>
      </c>
      <c r="PF7" s="30">
        <f t="shared" si="143"/>
        <v>75.399866854869259</v>
      </c>
      <c r="PG7" s="30">
        <f t="shared" si="143"/>
        <v>75.384928999819863</v>
      </c>
      <c r="PH7" s="30">
        <f t="shared" si="143"/>
        <v>75.391294912426304</v>
      </c>
      <c r="PI7" s="30">
        <f t="shared" si="143"/>
        <v>75.371132518762636</v>
      </c>
      <c r="PJ7" s="30">
        <f t="shared" si="143"/>
        <v>75.324632333035311</v>
      </c>
      <c r="PK7" s="30">
        <f t="shared" si="143"/>
        <v>75.468437360074773</v>
      </c>
      <c r="PL7" s="30">
        <f t="shared" si="143"/>
        <v>75.332209453172013</v>
      </c>
      <c r="PM7" s="30">
        <f t="shared" si="143"/>
        <v>75.44386138447868</v>
      </c>
      <c r="PN7" s="30">
        <f t="shared" si="143"/>
        <v>75.476373104964054</v>
      </c>
      <c r="PO7" s="30">
        <f t="shared" si="143"/>
        <v>75.535100687453038</v>
      </c>
      <c r="PP7" s="30">
        <f t="shared" si="143"/>
        <v>75.383811888651863</v>
      </c>
      <c r="PQ7" s="30">
        <f t="shared" si="143"/>
        <v>75.421431110563944</v>
      </c>
      <c r="PR7" s="30">
        <f t="shared" si="143"/>
        <v>75.323372220463909</v>
      </c>
      <c r="PS7" s="30">
        <f t="shared" si="143"/>
        <v>75.465063821882538</v>
      </c>
      <c r="PT7" s="30">
        <f t="shared" si="143"/>
        <v>75.330842870879081</v>
      </c>
      <c r="PU7" s="30">
        <f t="shared" si="143"/>
        <v>75.446054143833223</v>
      </c>
      <c r="PV7" s="30">
        <f t="shared" si="143"/>
        <v>75.312423092846643</v>
      </c>
      <c r="PW7" s="30">
        <f t="shared" si="143"/>
        <v>75.453061336479493</v>
      </c>
      <c r="PX7" s="30">
        <f t="shared" si="143"/>
        <v>75.345625837724398</v>
      </c>
      <c r="PY7" s="30">
        <f t="shared" si="143"/>
        <v>75.449704844035082</v>
      </c>
      <c r="PZ7" s="30">
        <f t="shared" si="143"/>
        <v>75.301635475267702</v>
      </c>
      <c r="QA7" s="30">
        <f t="shared" si="143"/>
        <v>75.441235907195846</v>
      </c>
      <c r="QB7" s="30">
        <f t="shared" si="143"/>
        <v>75.375553602883556</v>
      </c>
      <c r="QC7" s="30">
        <f t="shared" si="143"/>
        <v>75.422597152715568</v>
      </c>
      <c r="QD7" s="30">
        <f t="shared" si="143"/>
        <v>75.321549995794442</v>
      </c>
      <c r="QE7" s="30">
        <f t="shared" si="143"/>
        <v>75.337927056684904</v>
      </c>
      <c r="QF7" s="30">
        <f t="shared" si="143"/>
        <v>75.476344849394323</v>
      </c>
      <c r="QG7" s="30">
        <f t="shared" si="143"/>
        <v>75.289461088793161</v>
      </c>
      <c r="QH7" s="30">
        <f t="shared" ref="QH7:SS7" si="144">((5/QH$6)*100)</f>
        <v>75.427293601479832</v>
      </c>
      <c r="QI7" s="30">
        <f t="shared" si="144"/>
        <v>75.29180262508487</v>
      </c>
      <c r="QJ7" s="30">
        <f t="shared" si="144"/>
        <v>75.42914898502913</v>
      </c>
      <c r="QK7" s="30">
        <f t="shared" si="144"/>
        <v>75.389740899896864</v>
      </c>
      <c r="QL7" s="30">
        <f t="shared" si="144"/>
        <v>75.481377475021006</v>
      </c>
      <c r="QM7" s="30">
        <f t="shared" si="144"/>
        <v>75.346554213043845</v>
      </c>
      <c r="QN7" s="30">
        <f t="shared" si="144"/>
        <v>75.483031494396286</v>
      </c>
      <c r="QO7" s="30">
        <f t="shared" si="144"/>
        <v>75.388676408440986</v>
      </c>
      <c r="QP7" s="30">
        <f t="shared" si="144"/>
        <v>75.524751013876639</v>
      </c>
      <c r="QQ7" s="30">
        <f t="shared" si="144"/>
        <v>75.480492927345395</v>
      </c>
      <c r="QR7" s="30">
        <f t="shared" si="144"/>
        <v>75.526243319366486</v>
      </c>
      <c r="QS7" s="30">
        <f t="shared" si="144"/>
        <v>75.60685072088225</v>
      </c>
      <c r="QT7" s="30">
        <f t="shared" si="144"/>
        <v>75.502844994635737</v>
      </c>
      <c r="QU7" s="30">
        <f t="shared" si="144"/>
        <v>75.58813893047261</v>
      </c>
      <c r="QV7" s="30">
        <f t="shared" si="144"/>
        <v>75.415275855963387</v>
      </c>
      <c r="QW7" s="30">
        <f t="shared" si="144"/>
        <v>75.46066377086369</v>
      </c>
      <c r="QX7" s="30">
        <f t="shared" si="144"/>
        <v>75.397417566579065</v>
      </c>
      <c r="QY7" s="30">
        <f t="shared" si="144"/>
        <v>75.324678032613235</v>
      </c>
      <c r="QZ7" s="30">
        <f t="shared" si="144"/>
        <v>75.257219818930352</v>
      </c>
      <c r="RA7" s="30">
        <f t="shared" si="144"/>
        <v>75.185240877956218</v>
      </c>
      <c r="RB7" s="30">
        <f t="shared" si="144"/>
        <v>75.318131602165735</v>
      </c>
      <c r="RC7" s="30">
        <f t="shared" si="144"/>
        <v>75.182996964777146</v>
      </c>
      <c r="RD7" s="30">
        <f t="shared" si="144"/>
        <v>75.315426950624328</v>
      </c>
      <c r="RE7" s="30">
        <f t="shared" si="144"/>
        <v>75.171091463653227</v>
      </c>
      <c r="RF7" s="30">
        <f t="shared" si="144"/>
        <v>75.090397285963491</v>
      </c>
      <c r="RG7" s="30">
        <f t="shared" si="144"/>
        <v>75.168911985157095</v>
      </c>
      <c r="RH7" s="30">
        <f t="shared" si="144"/>
        <v>75.117327635165751</v>
      </c>
      <c r="RI7" s="30">
        <f t="shared" si="144"/>
        <v>74.998966850966852</v>
      </c>
      <c r="RJ7" s="30">
        <f t="shared" si="144"/>
        <v>75.072261831656135</v>
      </c>
      <c r="RK7" s="30">
        <f t="shared" si="144"/>
        <v>75.01646547843977</v>
      </c>
      <c r="RL7" s="30">
        <f t="shared" si="144"/>
        <v>75.132473424588994</v>
      </c>
      <c r="RM7" s="30">
        <f t="shared" si="144"/>
        <v>75.110013332027364</v>
      </c>
      <c r="RN7" s="30">
        <f t="shared" si="144"/>
        <v>75.120934570299397</v>
      </c>
      <c r="RO7" s="30">
        <f t="shared" si="144"/>
        <v>75.051133322652646</v>
      </c>
      <c r="RP7" s="30">
        <f t="shared" si="144"/>
        <v>74.981695644886685</v>
      </c>
      <c r="RQ7" s="30">
        <f t="shared" si="144"/>
        <v>74.92674527772931</v>
      </c>
      <c r="RR7" s="30">
        <f t="shared" si="144"/>
        <v>75.055612814620673</v>
      </c>
      <c r="RS7" s="30">
        <f t="shared" si="144"/>
        <v>74.916051427990141</v>
      </c>
      <c r="RT7" s="30">
        <f t="shared" si="144"/>
        <v>74.941191807664126</v>
      </c>
      <c r="RU7" s="30">
        <f t="shared" si="144"/>
        <v>75.017816731473715</v>
      </c>
      <c r="RV7" s="30">
        <f t="shared" si="144"/>
        <v>74.851175686544707</v>
      </c>
      <c r="RW7" s="30">
        <f t="shared" si="144"/>
        <v>74.978839028652885</v>
      </c>
      <c r="RX7" s="30">
        <f t="shared" si="144"/>
        <v>74.957132724344959</v>
      </c>
      <c r="RY7" s="30">
        <f t="shared" si="144"/>
        <v>74.87048892908426</v>
      </c>
      <c r="RZ7" s="30">
        <f t="shared" si="144"/>
        <v>74.988255971482147</v>
      </c>
      <c r="SA7" s="30">
        <f t="shared" si="144"/>
        <v>74.920295190908291</v>
      </c>
      <c r="SB7" s="30">
        <f t="shared" si="144"/>
        <v>74.8434514199418</v>
      </c>
      <c r="SC7" s="30">
        <f t="shared" si="144"/>
        <v>74.734851073600552</v>
      </c>
      <c r="SD7" s="30">
        <f t="shared" si="144"/>
        <v>74.860843648518383</v>
      </c>
      <c r="SE7" s="30">
        <f t="shared" si="144"/>
        <v>74.757100699040151</v>
      </c>
      <c r="SF7" s="30">
        <f t="shared" si="144"/>
        <v>74.581082575539895</v>
      </c>
      <c r="SG7" s="30">
        <f t="shared" si="144"/>
        <v>74.451721464917895</v>
      </c>
      <c r="SH7" s="30">
        <f t="shared" si="144"/>
        <v>74.576404804131698</v>
      </c>
      <c r="SI7" s="30">
        <f t="shared" si="144"/>
        <v>74.701098276472905</v>
      </c>
      <c r="SJ7" s="30">
        <f t="shared" si="144"/>
        <v>74.653226658121</v>
      </c>
      <c r="SK7" s="30">
        <f t="shared" si="144"/>
        <v>74.497300440356454</v>
      </c>
      <c r="SL7" s="30">
        <f t="shared" si="144"/>
        <v>74.621251793873128</v>
      </c>
      <c r="SM7" s="30">
        <f t="shared" si="144"/>
        <v>74.745213161737041</v>
      </c>
      <c r="SN7" s="30">
        <f t="shared" si="144"/>
        <v>74.652480042220247</v>
      </c>
      <c r="SO7" s="30">
        <f t="shared" si="144"/>
        <v>74.591670757177639</v>
      </c>
      <c r="SP7" s="30">
        <f t="shared" si="144"/>
        <v>74.692515809915847</v>
      </c>
      <c r="SQ7" s="30">
        <f t="shared" si="144"/>
        <v>74.707966319438768</v>
      </c>
      <c r="SR7" s="30">
        <f t="shared" si="144"/>
        <v>74.66068933747087</v>
      </c>
      <c r="SS7" s="30">
        <f t="shared" si="144"/>
        <v>74.649327605752021</v>
      </c>
      <c r="ST7" s="30">
        <f t="shared" ref="ST7:VE7" si="145">((5/ST$6)*100)</f>
        <v>74.722778491795438</v>
      </c>
      <c r="SU7" s="30">
        <f t="shared" si="145"/>
        <v>74.595598907329403</v>
      </c>
      <c r="SV7" s="30">
        <f t="shared" si="145"/>
        <v>74.717734987276529</v>
      </c>
      <c r="SW7" s="30">
        <f t="shared" si="145"/>
        <v>74.630874269793935</v>
      </c>
      <c r="SX7" s="30">
        <f t="shared" si="145"/>
        <v>74.752680341138429</v>
      </c>
      <c r="SY7" s="30">
        <f t="shared" si="145"/>
        <v>74.856702883052435</v>
      </c>
      <c r="SZ7" s="30">
        <f t="shared" si="145"/>
        <v>74.783004845132822</v>
      </c>
      <c r="TA7" s="30">
        <f t="shared" si="145"/>
        <v>74.895608320617669</v>
      </c>
      <c r="TB7" s="30">
        <f t="shared" si="145"/>
        <v>74.777810671088915</v>
      </c>
      <c r="TC7" s="30">
        <f t="shared" si="145"/>
        <v>74.898898301000003</v>
      </c>
      <c r="TD7" s="30">
        <f t="shared" si="145"/>
        <v>74.711068180026615</v>
      </c>
      <c r="TE7" s="30">
        <f t="shared" si="145"/>
        <v>74.83166405383362</v>
      </c>
      <c r="TF7" s="30">
        <f t="shared" si="145"/>
        <v>74.780688315734636</v>
      </c>
      <c r="TG7" s="30">
        <f t="shared" si="145"/>
        <v>74.901020297472115</v>
      </c>
      <c r="TH7" s="30">
        <f t="shared" si="145"/>
        <v>74.836852148848266</v>
      </c>
      <c r="TI7" s="30">
        <f t="shared" si="145"/>
        <v>74.886733815104662</v>
      </c>
      <c r="TJ7" s="30">
        <f t="shared" si="145"/>
        <v>74.910253776306519</v>
      </c>
      <c r="TK7" s="30">
        <f t="shared" si="145"/>
        <v>74.828907549234387</v>
      </c>
      <c r="TL7" s="30">
        <f t="shared" si="145"/>
        <v>74.787112610316825</v>
      </c>
      <c r="TM7" s="30">
        <f t="shared" si="145"/>
        <v>74.849742628462607</v>
      </c>
      <c r="TN7" s="30">
        <f t="shared" si="145"/>
        <v>74.838401266103318</v>
      </c>
      <c r="TO7" s="30">
        <f t="shared" si="145"/>
        <v>74.805436386661185</v>
      </c>
      <c r="TP7" s="30">
        <f t="shared" si="145"/>
        <v>74.802859203445507</v>
      </c>
      <c r="TQ7" s="30">
        <f t="shared" si="145"/>
        <v>74.865104173406067</v>
      </c>
      <c r="TR7" s="30">
        <f t="shared" si="145"/>
        <v>74.784800686406939</v>
      </c>
      <c r="TS7" s="30">
        <f t="shared" si="145"/>
        <v>74.864092877545389</v>
      </c>
      <c r="TT7" s="30">
        <f t="shared" si="145"/>
        <v>74.818418800638909</v>
      </c>
      <c r="TU7" s="30">
        <f t="shared" si="145"/>
        <v>74.837309199295888</v>
      </c>
      <c r="TV7" s="30">
        <f t="shared" si="145"/>
        <v>74.864733299260138</v>
      </c>
      <c r="TW7" s="30">
        <f t="shared" si="145"/>
        <v>74.913540152741149</v>
      </c>
      <c r="TX7" s="30">
        <f t="shared" si="145"/>
        <v>74.799611270417159</v>
      </c>
      <c r="TY7" s="30">
        <f t="shared" si="145"/>
        <v>74.878185975498397</v>
      </c>
      <c r="TZ7" s="30">
        <f t="shared" si="145"/>
        <v>74.769018359037403</v>
      </c>
      <c r="UA7" s="30">
        <f t="shared" si="145"/>
        <v>74.843079767708929</v>
      </c>
      <c r="UB7" s="30">
        <f t="shared" si="145"/>
        <v>74.815000328096133</v>
      </c>
      <c r="UC7" s="30">
        <f t="shared" si="145"/>
        <v>74.876114065818371</v>
      </c>
      <c r="UD7" s="30">
        <f t="shared" si="145"/>
        <v>74.822627358639011</v>
      </c>
      <c r="UE7" s="30">
        <f t="shared" si="145"/>
        <v>74.930174585043034</v>
      </c>
      <c r="UF7" s="30">
        <f t="shared" si="145"/>
        <v>74.910531064820987</v>
      </c>
      <c r="UG7" s="30">
        <f t="shared" si="145"/>
        <v>74.928986729895897</v>
      </c>
      <c r="UH7" s="30">
        <f t="shared" si="145"/>
        <v>74.829327244964219</v>
      </c>
      <c r="UI7" s="30">
        <f t="shared" si="145"/>
        <v>74.944669228438997</v>
      </c>
      <c r="UJ7" s="30">
        <f t="shared" si="145"/>
        <v>74.992506370990071</v>
      </c>
      <c r="UK7" s="30">
        <f t="shared" si="145"/>
        <v>74.876241230624657</v>
      </c>
      <c r="UL7" s="30">
        <f t="shared" si="145"/>
        <v>74.991138939412309</v>
      </c>
      <c r="UM7" s="30">
        <f t="shared" si="145"/>
        <v>74.858495098444507</v>
      </c>
      <c r="UN7" s="30">
        <f t="shared" si="145"/>
        <v>74.973022002738361</v>
      </c>
      <c r="UO7" s="30">
        <f t="shared" si="145"/>
        <v>74.865876445457317</v>
      </c>
      <c r="UP7" s="30">
        <f t="shared" si="145"/>
        <v>74.888296261215714</v>
      </c>
      <c r="UQ7" s="30">
        <f t="shared" si="145"/>
        <v>74.952315203621197</v>
      </c>
      <c r="UR7" s="30">
        <f t="shared" si="145"/>
        <v>74.849884398511875</v>
      </c>
      <c r="US7" s="30">
        <f t="shared" si="145"/>
        <v>74.963549528505879</v>
      </c>
      <c r="UT7" s="30">
        <f t="shared" si="145"/>
        <v>74.931803204513358</v>
      </c>
      <c r="UU7" s="30">
        <f t="shared" si="145"/>
        <v>74.867094344022902</v>
      </c>
      <c r="UV7" s="30">
        <f t="shared" si="145"/>
        <v>74.951314760861152</v>
      </c>
      <c r="UW7" s="30">
        <f t="shared" si="145"/>
        <v>74.882610495899087</v>
      </c>
      <c r="UX7" s="30">
        <f t="shared" si="145"/>
        <v>74.908871872389611</v>
      </c>
      <c r="UY7" s="30">
        <f t="shared" si="145"/>
        <v>74.943309013020794</v>
      </c>
      <c r="UZ7" s="30">
        <f t="shared" si="145"/>
        <v>74.990025118913522</v>
      </c>
      <c r="VA7" s="30">
        <f t="shared" si="145"/>
        <v>75.016088976977954</v>
      </c>
      <c r="VB7" s="30">
        <f t="shared" si="145"/>
        <v>75.046205455694803</v>
      </c>
      <c r="VC7" s="30">
        <f t="shared" si="145"/>
        <v>74.949119817639826</v>
      </c>
      <c r="VD7" s="30">
        <f t="shared" si="145"/>
        <v>75.061114169156511</v>
      </c>
      <c r="VE7" s="30">
        <f t="shared" si="145"/>
        <v>75.06649058046473</v>
      </c>
      <c r="VF7" s="30">
        <f t="shared" ref="VF7:XQ7" si="146">((5/VF$6)*100)</f>
        <v>75.178338512891713</v>
      </c>
      <c r="VG7" s="30">
        <f t="shared" si="146"/>
        <v>75.032296510237003</v>
      </c>
      <c r="VH7" s="30">
        <f t="shared" si="146"/>
        <v>75.115178418659184</v>
      </c>
      <c r="VI7" s="30">
        <f t="shared" si="146"/>
        <v>75.087848442339492</v>
      </c>
      <c r="VJ7" s="30">
        <f t="shared" si="146"/>
        <v>74.99969155971003</v>
      </c>
      <c r="VK7" s="30">
        <f t="shared" si="146"/>
        <v>75.04565457544922</v>
      </c>
      <c r="VL7" s="30">
        <f t="shared" si="146"/>
        <v>75.124008660338944</v>
      </c>
      <c r="VM7" s="30">
        <f t="shared" si="146"/>
        <v>75.157636663795699</v>
      </c>
      <c r="VN7" s="30">
        <f t="shared" si="146"/>
        <v>75.162818625109225</v>
      </c>
      <c r="VO7" s="30">
        <f t="shared" si="146"/>
        <v>75.188229099611263</v>
      </c>
      <c r="VP7" s="30">
        <f t="shared" si="146"/>
        <v>75.229773684302288</v>
      </c>
      <c r="VQ7" s="30">
        <f t="shared" si="146"/>
        <v>75.061389493550081</v>
      </c>
      <c r="VR7" s="30">
        <f t="shared" si="146"/>
        <v>75.151165336208734</v>
      </c>
      <c r="VS7" s="30">
        <f t="shared" si="146"/>
        <v>75.051862761574981</v>
      </c>
      <c r="VT7" s="30">
        <f t="shared" si="146"/>
        <v>75.065150784852591</v>
      </c>
      <c r="VU7" s="30">
        <f t="shared" si="146"/>
        <v>75.074402571980798</v>
      </c>
      <c r="VV7" s="30">
        <f t="shared" si="146"/>
        <v>75.071637509410579</v>
      </c>
      <c r="VW7" s="30">
        <f t="shared" si="146"/>
        <v>74.985162284460145</v>
      </c>
      <c r="VX7" s="30">
        <f t="shared" si="146"/>
        <v>74.930882355123202</v>
      </c>
      <c r="VY7" s="30">
        <f t="shared" si="146"/>
        <v>74.849128261381608</v>
      </c>
      <c r="VZ7" s="30">
        <f t="shared" si="146"/>
        <v>74.925808654490993</v>
      </c>
      <c r="WA7" s="30">
        <f t="shared" si="146"/>
        <v>74.919329820214713</v>
      </c>
      <c r="WB7" s="30">
        <f t="shared" si="146"/>
        <v>75.027494252640693</v>
      </c>
      <c r="WC7" s="30">
        <f t="shared" si="146"/>
        <v>74.874921023784154</v>
      </c>
      <c r="WD7" s="30">
        <f t="shared" si="146"/>
        <v>74.982716115857457</v>
      </c>
      <c r="WE7" s="30">
        <f t="shared" si="146"/>
        <v>74.925043475413887</v>
      </c>
      <c r="WF7" s="30">
        <f t="shared" si="146"/>
        <v>74.961811412857159</v>
      </c>
      <c r="WG7" s="30">
        <f t="shared" si="146"/>
        <v>74.967102425164825</v>
      </c>
      <c r="WH7" s="30">
        <f t="shared" si="146"/>
        <v>74.886244973900517</v>
      </c>
      <c r="WI7" s="30">
        <f t="shared" si="146"/>
        <v>74.977642460653442</v>
      </c>
      <c r="WJ7" s="30">
        <f t="shared" si="146"/>
        <v>75.061171200646754</v>
      </c>
      <c r="WK7" s="30">
        <f t="shared" si="146"/>
        <v>74.984222069939449</v>
      </c>
      <c r="WL7" s="30">
        <f t="shared" si="146"/>
        <v>75.075340863914136</v>
      </c>
      <c r="WM7" s="30">
        <f t="shared" si="146"/>
        <v>75.033630031410198</v>
      </c>
      <c r="WN7" s="30">
        <f t="shared" si="146"/>
        <v>75.042674682843497</v>
      </c>
      <c r="WO7" s="30">
        <f t="shared" si="146"/>
        <v>75.012816416285503</v>
      </c>
      <c r="WP7" s="30">
        <f t="shared" si="146"/>
        <v>75.080128620027224</v>
      </c>
      <c r="WQ7" s="30">
        <f t="shared" si="146"/>
        <v>75.027003520688652</v>
      </c>
      <c r="WR7" s="30">
        <f t="shared" si="146"/>
        <v>75.05149854201882</v>
      </c>
      <c r="WS7" s="30">
        <f t="shared" si="146"/>
        <v>75.060460788745218</v>
      </c>
      <c r="WT7" s="30">
        <f t="shared" si="146"/>
        <v>75.119681418358525</v>
      </c>
      <c r="WU7" s="30">
        <f t="shared" si="146"/>
        <v>75.024305819625127</v>
      </c>
      <c r="WV7" s="30">
        <f t="shared" si="146"/>
        <v>75.129657756145377</v>
      </c>
      <c r="WW7" s="30">
        <f t="shared" si="146"/>
        <v>75.057585163699358</v>
      </c>
      <c r="WX7" s="30">
        <f t="shared" si="146"/>
        <v>75.104936863695698</v>
      </c>
      <c r="WY7" s="30">
        <f t="shared" si="146"/>
        <v>75.152219079162123</v>
      </c>
      <c r="WZ7" s="30">
        <f t="shared" si="146"/>
        <v>75.114895130408655</v>
      </c>
      <c r="XA7" s="30">
        <f t="shared" si="146"/>
        <v>75.17356309206842</v>
      </c>
      <c r="XB7" s="30">
        <f t="shared" si="146"/>
        <v>75.13246046472841</v>
      </c>
      <c r="XC7" s="30">
        <f t="shared" si="146"/>
        <v>75.171825681221762</v>
      </c>
      <c r="XD7" s="30">
        <f t="shared" si="146"/>
        <v>75.115565144507514</v>
      </c>
      <c r="XE7" s="30">
        <f t="shared" si="146"/>
        <v>75.048122072869688</v>
      </c>
      <c r="XF7" s="30">
        <f t="shared" si="146"/>
        <v>75.06453422608466</v>
      </c>
      <c r="XG7" s="30">
        <f t="shared" si="146"/>
        <v>75.023973293892155</v>
      </c>
      <c r="XH7" s="30">
        <f t="shared" si="146"/>
        <v>74.991133282558721</v>
      </c>
      <c r="XI7" s="30">
        <f t="shared" si="146"/>
        <v>75.094594965593757</v>
      </c>
      <c r="XJ7" s="30">
        <f t="shared" si="146"/>
        <v>74.978588329305964</v>
      </c>
      <c r="XK7" s="30">
        <f t="shared" si="146"/>
        <v>74.987414980756583</v>
      </c>
      <c r="XL7" s="30">
        <f t="shared" si="146"/>
        <v>74.894711270360688</v>
      </c>
      <c r="XM7" s="30">
        <f t="shared" si="146"/>
        <v>74.81744742874038</v>
      </c>
      <c r="XN7" s="30">
        <f t="shared" si="146"/>
        <v>74.919973664979082</v>
      </c>
      <c r="XO7" s="30">
        <f t="shared" si="146"/>
        <v>74.854034632466693</v>
      </c>
      <c r="XP7" s="30">
        <f t="shared" si="146"/>
        <v>74.941379077045539</v>
      </c>
      <c r="XQ7" s="30">
        <f t="shared" si="146"/>
        <v>74.737880735834196</v>
      </c>
      <c r="XR7" s="30">
        <f t="shared" ref="XR7:AAC7" si="147">((5/XR$6)*100)</f>
        <v>74.839750502360573</v>
      </c>
      <c r="XS7" s="30">
        <f t="shared" si="147"/>
        <v>74.792950496589484</v>
      </c>
      <c r="XT7" s="30">
        <f t="shared" si="147"/>
        <v>74.894626732124252</v>
      </c>
      <c r="XU7" s="30">
        <f t="shared" si="147"/>
        <v>74.996309705395461</v>
      </c>
      <c r="XV7" s="30">
        <f t="shared" si="147"/>
        <v>74.912208235751194</v>
      </c>
      <c r="XW7" s="30">
        <f t="shared" si="147"/>
        <v>75.01364694183809</v>
      </c>
      <c r="XX7" s="30">
        <f t="shared" si="147"/>
        <v>75.007456274803602</v>
      </c>
      <c r="XY7" s="30">
        <f t="shared" si="147"/>
        <v>75.108759460244741</v>
      </c>
      <c r="XZ7" s="30">
        <f t="shared" si="147"/>
        <v>75.076511943282014</v>
      </c>
      <c r="YA7" s="30">
        <f t="shared" si="147"/>
        <v>75.177644181250344</v>
      </c>
      <c r="YB7" s="30">
        <f t="shared" si="147"/>
        <v>75.171243639754181</v>
      </c>
      <c r="YC7" s="30">
        <f t="shared" si="147"/>
        <v>75.272241173837102</v>
      </c>
      <c r="YD7" s="30">
        <f t="shared" si="147"/>
        <v>75.180654690830622</v>
      </c>
      <c r="YE7" s="30">
        <f t="shared" si="147"/>
        <v>75.189032688186558</v>
      </c>
      <c r="YF7" s="30">
        <f t="shared" si="147"/>
        <v>75.138457547555205</v>
      </c>
      <c r="YG7" s="30">
        <f t="shared" si="147"/>
        <v>75.238883454969539</v>
      </c>
      <c r="YH7" s="30">
        <f t="shared" si="147"/>
        <v>75.228762939787444</v>
      </c>
      <c r="YI7" s="30">
        <f t="shared" si="147"/>
        <v>75.277500239519327</v>
      </c>
      <c r="YJ7" s="30">
        <f t="shared" si="147"/>
        <v>75.340895565792536</v>
      </c>
      <c r="YK7" s="30">
        <f t="shared" si="147"/>
        <v>75.389505937021241</v>
      </c>
      <c r="YL7" s="30">
        <f t="shared" si="147"/>
        <v>75.42333174420699</v>
      </c>
      <c r="YM7" s="30">
        <f t="shared" si="147"/>
        <v>75.457100396159532</v>
      </c>
      <c r="YN7" s="30">
        <f t="shared" si="147"/>
        <v>75.501843706312442</v>
      </c>
      <c r="YO7" s="30">
        <f t="shared" si="147"/>
        <v>75.506095171151685</v>
      </c>
      <c r="YP7" s="30">
        <f t="shared" si="147"/>
        <v>75.484661069985847</v>
      </c>
      <c r="YQ7" s="30">
        <f t="shared" si="147"/>
        <v>75.580591059651553</v>
      </c>
      <c r="YR7" s="30">
        <f t="shared" si="147"/>
        <v>75.548082426740166</v>
      </c>
      <c r="YS7" s="30">
        <f t="shared" si="147"/>
        <v>75.58520390562316</v>
      </c>
      <c r="YT7" s="30">
        <f t="shared" si="147"/>
        <v>75.633251747554212</v>
      </c>
      <c r="YU7" s="30">
        <f t="shared" si="147"/>
        <v>75.651951491426956</v>
      </c>
      <c r="YV7" s="30">
        <f t="shared" si="147"/>
        <v>75.710855312204302</v>
      </c>
      <c r="YW7" s="30">
        <f t="shared" si="147"/>
        <v>75.641768303860701</v>
      </c>
      <c r="YX7" s="30">
        <f t="shared" si="147"/>
        <v>75.63851918086857</v>
      </c>
      <c r="YY7" s="30">
        <f t="shared" si="147"/>
        <v>75.69354936875817</v>
      </c>
      <c r="YZ7" s="30">
        <f t="shared" si="147"/>
        <v>75.704800146061203</v>
      </c>
      <c r="ZA7" s="30">
        <f t="shared" si="147"/>
        <v>75.785203958372747</v>
      </c>
      <c r="ZB7" s="30">
        <f t="shared" si="147"/>
        <v>75.741765314956154</v>
      </c>
      <c r="ZC7" s="30">
        <f t="shared" si="147"/>
        <v>75.832914172499727</v>
      </c>
      <c r="ZD7" s="30">
        <f t="shared" si="147"/>
        <v>75.77494974042051</v>
      </c>
      <c r="ZE7" s="30">
        <f t="shared" si="147"/>
        <v>75.793303240584791</v>
      </c>
      <c r="ZF7" s="30">
        <f t="shared" si="147"/>
        <v>75.818867673416293</v>
      </c>
      <c r="ZG7" s="30">
        <f t="shared" si="147"/>
        <v>75.837140790792262</v>
      </c>
      <c r="ZH7" s="30">
        <f t="shared" si="147"/>
        <v>75.844521592792191</v>
      </c>
      <c r="ZI7" s="30">
        <f t="shared" si="147"/>
        <v>75.822984194527493</v>
      </c>
      <c r="ZJ7" s="30">
        <f t="shared" si="147"/>
        <v>75.866452958705992</v>
      </c>
      <c r="ZK7" s="30">
        <f t="shared" si="147"/>
        <v>75.798102729795531</v>
      </c>
      <c r="ZL7" s="30">
        <f t="shared" si="147"/>
        <v>75.819874752019672</v>
      </c>
      <c r="ZM7" s="30">
        <f t="shared" si="147"/>
        <v>75.899167955371297</v>
      </c>
      <c r="ZN7" s="30">
        <f t="shared" si="147"/>
        <v>75.920817146844513</v>
      </c>
      <c r="ZO7" s="30">
        <f t="shared" si="147"/>
        <v>75.85622955570571</v>
      </c>
      <c r="ZP7" s="30">
        <f t="shared" si="147"/>
        <v>75.89578289760837</v>
      </c>
      <c r="ZQ7" s="30">
        <f t="shared" si="147"/>
        <v>75.910185787347245</v>
      </c>
      <c r="ZR7" s="30">
        <f t="shared" si="147"/>
        <v>75.953212820902323</v>
      </c>
      <c r="ZS7" s="30">
        <f t="shared" si="147"/>
        <v>75.863850178873022</v>
      </c>
      <c r="ZT7" s="30">
        <f t="shared" si="147"/>
        <v>75.871093226300246</v>
      </c>
      <c r="ZU7" s="30">
        <f t="shared" si="147"/>
        <v>75.828472990986555</v>
      </c>
      <c r="ZV7" s="30">
        <f t="shared" si="147"/>
        <v>75.73988694628197</v>
      </c>
      <c r="ZW7" s="30">
        <f t="shared" si="147"/>
        <v>75.612884435507809</v>
      </c>
      <c r="ZX7" s="30">
        <f t="shared" si="147"/>
        <v>75.511218397251582</v>
      </c>
      <c r="ZY7" s="30">
        <f t="shared" si="147"/>
        <v>75.606678416118299</v>
      </c>
      <c r="ZZ7" s="30">
        <f t="shared" si="147"/>
        <v>75.621167899642046</v>
      </c>
      <c r="AAA7" s="30">
        <f t="shared" si="147"/>
        <v>75.667266303414209</v>
      </c>
      <c r="AAB7" s="30">
        <f t="shared" si="147"/>
        <v>75.681668971165735</v>
      </c>
      <c r="AAC7" s="30">
        <f t="shared" si="147"/>
        <v>75.73116771892154</v>
      </c>
      <c r="AAD7" s="30">
        <f t="shared" ref="AAD7:ACO7" si="148">((5/AAD$6)*100)</f>
        <v>75.675321194036158</v>
      </c>
      <c r="AAE7" s="30">
        <f t="shared" si="148"/>
        <v>75.724698323170045</v>
      </c>
      <c r="AAF7" s="30">
        <f t="shared" si="148"/>
        <v>75.756496605202457</v>
      </c>
      <c r="AAG7" s="30">
        <f t="shared" si="148"/>
        <v>75.718261582585527</v>
      </c>
      <c r="AAH7" s="30">
        <f t="shared" si="148"/>
        <v>75.809438893806401</v>
      </c>
      <c r="AAI7" s="30">
        <f t="shared" si="148"/>
        <v>75.834091981771778</v>
      </c>
      <c r="AAJ7" s="30">
        <f t="shared" si="148"/>
        <v>75.879683403776355</v>
      </c>
      <c r="AAK7" s="30">
        <f t="shared" si="148"/>
        <v>75.743759596660809</v>
      </c>
      <c r="AAL7" s="30">
        <f t="shared" si="148"/>
        <v>75.834524471571243</v>
      </c>
      <c r="AAM7" s="30">
        <f t="shared" si="148"/>
        <v>75.859043977673565</v>
      </c>
      <c r="AAN7" s="30">
        <f t="shared" si="148"/>
        <v>75.751455353081482</v>
      </c>
      <c r="AAO7" s="30">
        <f t="shared" si="148"/>
        <v>75.637520156302926</v>
      </c>
      <c r="AAP7" s="30">
        <f t="shared" si="148"/>
        <v>75.731180436251805</v>
      </c>
      <c r="AAQ7" s="30">
        <f t="shared" si="148"/>
        <v>75.614160072443823</v>
      </c>
      <c r="AAR7" s="30">
        <f t="shared" si="148"/>
        <v>75.631771023038468</v>
      </c>
      <c r="AAS7" s="30">
        <f t="shared" si="148"/>
        <v>75.687197910742242</v>
      </c>
      <c r="AAT7" s="30">
        <f t="shared" si="148"/>
        <v>75.721917122588962</v>
      </c>
      <c r="AAU7" s="30">
        <f t="shared" si="148"/>
        <v>75.708445867190335</v>
      </c>
      <c r="AAV7" s="30">
        <f t="shared" si="148"/>
        <v>75.722469441222586</v>
      </c>
      <c r="AAW7" s="30">
        <f t="shared" si="148"/>
        <v>75.805139443372667</v>
      </c>
      <c r="AAX7" s="30">
        <f t="shared" si="148"/>
        <v>75.729870376157606</v>
      </c>
      <c r="AAY7" s="30">
        <f t="shared" si="148"/>
        <v>75.822639445796227</v>
      </c>
      <c r="AAZ7" s="30">
        <f t="shared" si="148"/>
        <v>75.78170317164944</v>
      </c>
      <c r="ABA7" s="30">
        <f t="shared" si="148"/>
        <v>75.805843186588859</v>
      </c>
      <c r="ABB7" s="30">
        <f t="shared" si="148"/>
        <v>75.816268963307635</v>
      </c>
      <c r="ABC7" s="30">
        <f t="shared" si="148"/>
        <v>75.789134106442503</v>
      </c>
      <c r="ABD7" s="30">
        <f t="shared" si="148"/>
        <v>75.785921582877521</v>
      </c>
      <c r="ABE7" s="30">
        <f t="shared" si="148"/>
        <v>75.826972193063384</v>
      </c>
      <c r="ABF7" s="30">
        <f t="shared" si="148"/>
        <v>75.728585165980022</v>
      </c>
      <c r="ABG7" s="30">
        <f t="shared" si="148"/>
        <v>75.786513512215791</v>
      </c>
      <c r="ABH7" s="30">
        <f t="shared" si="148"/>
        <v>75.634440798949726</v>
      </c>
      <c r="ABI7" s="30">
        <f t="shared" si="148"/>
        <v>75.621325499154253</v>
      </c>
      <c r="ABJ7" s="30">
        <f t="shared" si="148"/>
        <v>75.712756680959643</v>
      </c>
      <c r="ABK7" s="30">
        <f t="shared" si="148"/>
        <v>75.665859564164634</v>
      </c>
      <c r="ABL7" s="30">
        <f t="shared" si="148"/>
        <v>75.515122280368573</v>
      </c>
      <c r="ABM7" s="30">
        <f t="shared" si="148"/>
        <v>75.606100027935213</v>
      </c>
      <c r="ABN7" s="30">
        <f t="shared" si="148"/>
        <v>75.589755168947974</v>
      </c>
      <c r="ABO7" s="30">
        <f t="shared" si="148"/>
        <v>75.616951089114309</v>
      </c>
      <c r="ABP7" s="30">
        <f t="shared" si="148"/>
        <v>75.593942935856546</v>
      </c>
      <c r="ABQ7" s="30">
        <f t="shared" si="148"/>
        <v>75.571002488192917</v>
      </c>
      <c r="ABR7" s="30">
        <f t="shared" si="148"/>
        <v>75.594777415279594</v>
      </c>
      <c r="ABS7" s="30">
        <f t="shared" si="148"/>
        <v>75.578545840590223</v>
      </c>
      <c r="ABT7" s="30">
        <f t="shared" si="148"/>
        <v>75.575655101919807</v>
      </c>
      <c r="ABU7" s="30">
        <f t="shared" si="148"/>
        <v>75.619286787024436</v>
      </c>
      <c r="ABV7" s="30">
        <f t="shared" si="148"/>
        <v>75.566578192626494</v>
      </c>
      <c r="ABW7" s="30">
        <f t="shared" si="148"/>
        <v>75.61342487411504</v>
      </c>
      <c r="ABX7" s="30">
        <f t="shared" si="148"/>
        <v>75.64695679217634</v>
      </c>
      <c r="ABY7" s="30">
        <f t="shared" si="148"/>
        <v>75.584440942831932</v>
      </c>
      <c r="ABZ7" s="30">
        <f t="shared" si="148"/>
        <v>75.495806709787999</v>
      </c>
      <c r="ACA7" s="30">
        <f t="shared" si="148"/>
        <v>75.552317100577753</v>
      </c>
      <c r="ACB7" s="30">
        <f t="shared" si="148"/>
        <v>75.490281954026329</v>
      </c>
      <c r="ACC7" s="30">
        <f t="shared" si="148"/>
        <v>75.507229382263873</v>
      </c>
      <c r="ACD7" s="30">
        <f t="shared" si="148"/>
        <v>75.563548422495714</v>
      </c>
      <c r="ACE7" s="30">
        <f t="shared" si="148"/>
        <v>75.508248625229129</v>
      </c>
      <c r="ACF7" s="30">
        <f t="shared" si="148"/>
        <v>75.597231145087136</v>
      </c>
      <c r="ACG7" s="30">
        <f t="shared" si="148"/>
        <v>75.558334500212808</v>
      </c>
      <c r="ACH7" s="30">
        <f t="shared" si="148"/>
        <v>75.503238163505245</v>
      </c>
      <c r="ACI7" s="30">
        <f t="shared" si="148"/>
        <v>75.526586222498906</v>
      </c>
      <c r="ACJ7" s="30">
        <f t="shared" si="148"/>
        <v>75.57926105076767</v>
      </c>
      <c r="ACK7" s="30">
        <f t="shared" si="148"/>
        <v>75.599253535041811</v>
      </c>
      <c r="ACL7" s="30">
        <f t="shared" si="148"/>
        <v>75.593138935707216</v>
      </c>
      <c r="ACM7" s="30">
        <f t="shared" si="148"/>
        <v>75.639133447762646</v>
      </c>
      <c r="ACN7" s="30">
        <f t="shared" si="148"/>
        <v>75.649253912460651</v>
      </c>
      <c r="ACO7" s="30">
        <f t="shared" si="148"/>
        <v>75.685382744420778</v>
      </c>
      <c r="ACP7" s="30">
        <f t="shared" ref="ACP7:ADR7" si="149">((5/ACP$6)*100)</f>
        <v>75.731227552481911</v>
      </c>
      <c r="ACQ7" s="30">
        <f t="shared" si="149"/>
        <v>75.660017849587888</v>
      </c>
      <c r="ACR7" s="30">
        <f t="shared" si="149"/>
        <v>75.683045917752494</v>
      </c>
      <c r="ACS7" s="30">
        <f t="shared" si="149"/>
        <v>75.673632293260312</v>
      </c>
      <c r="ACT7" s="30">
        <f t="shared" si="149"/>
        <v>75.696601179840599</v>
      </c>
      <c r="ACU7" s="30">
        <f t="shared" si="149"/>
        <v>75.603230152274818</v>
      </c>
      <c r="ACV7" s="30">
        <f t="shared" si="149"/>
        <v>75.690718338197058</v>
      </c>
      <c r="ACW7" s="30">
        <f t="shared" si="149"/>
        <v>75.62011045304962</v>
      </c>
      <c r="ACX7" s="30">
        <f t="shared" si="149"/>
        <v>75.707421558510077</v>
      </c>
      <c r="ACY7" s="30">
        <f t="shared" si="149"/>
        <v>75.759252417911867</v>
      </c>
      <c r="ACZ7" s="30">
        <f t="shared" si="149"/>
        <v>75.785244859489381</v>
      </c>
      <c r="ADA7" s="30">
        <f t="shared" si="149"/>
        <v>75.827308235967777</v>
      </c>
      <c r="ADB7" s="30">
        <f t="shared" si="149"/>
        <v>75.840328676527662</v>
      </c>
      <c r="ADC7" s="30">
        <f t="shared" si="149"/>
        <v>75.862979578772084</v>
      </c>
      <c r="ADD7" s="30">
        <f t="shared" si="149"/>
        <v>75.875943256663305</v>
      </c>
      <c r="ADE7" s="30">
        <f t="shared" si="149"/>
        <v>75.888882414242161</v>
      </c>
      <c r="ADF7" s="30">
        <f t="shared" si="149"/>
        <v>75.905008562795786</v>
      </c>
      <c r="ADG7" s="30">
        <f t="shared" si="149"/>
        <v>75.905062208340297</v>
      </c>
      <c r="ADH7" s="30">
        <f t="shared" si="149"/>
        <v>75.895503626184166</v>
      </c>
      <c r="ADI7" s="30">
        <f t="shared" si="149"/>
        <v>75.901968391046935</v>
      </c>
      <c r="ADJ7" s="30">
        <f t="shared" si="149"/>
        <v>75.854099480504644</v>
      </c>
      <c r="ADK7" s="30">
        <f t="shared" si="149"/>
        <v>75.879733818604706</v>
      </c>
      <c r="ADL7" s="30">
        <f t="shared" si="149"/>
        <v>75.883003366919624</v>
      </c>
      <c r="ADM7" s="30">
        <f t="shared" si="149"/>
        <v>75.899008644762745</v>
      </c>
      <c r="ADN7" s="30">
        <f t="shared" si="149"/>
        <v>75.934094240503839</v>
      </c>
      <c r="ADO7" s="30">
        <f t="shared" si="149"/>
        <v>75.978691080034579</v>
      </c>
      <c r="ADP7" s="30">
        <f t="shared" si="149"/>
        <v>75.937315127801583</v>
      </c>
      <c r="ADQ7" s="30">
        <f t="shared" si="149"/>
        <v>75.97863494173744</v>
      </c>
      <c r="ADR7" s="30">
        <f t="shared" si="149"/>
        <v>75.962733635546343</v>
      </c>
      <c r="ADS7" s="30">
        <f t="shared" ref="ADS7:AGD7" si="150">((5/ADS$6)*100)</f>
        <v>75.984923255227528</v>
      </c>
      <c r="ADT7" s="30">
        <f t="shared" si="150"/>
        <v>75.99439626831645</v>
      </c>
      <c r="ADU7" s="30">
        <f t="shared" si="150"/>
        <v>76.0323644431313</v>
      </c>
      <c r="ADV7" s="30">
        <f t="shared" si="150"/>
        <v>76.041776502474733</v>
      </c>
      <c r="ADW7" s="30">
        <f t="shared" si="150"/>
        <v>75.905904582457723</v>
      </c>
      <c r="ADX7" s="30">
        <f t="shared" si="150"/>
        <v>75.833610284860882</v>
      </c>
      <c r="ADY7" s="30">
        <f t="shared" si="150"/>
        <v>75.849439194419332</v>
      </c>
      <c r="ADZ7" s="30">
        <f t="shared" si="150"/>
        <v>75.840142543077945</v>
      </c>
      <c r="AEA7" s="30">
        <f t="shared" si="150"/>
        <v>75.877877284147274</v>
      </c>
      <c r="AEB7" s="30">
        <f t="shared" si="150"/>
        <v>75.84351773954296</v>
      </c>
      <c r="AEC7" s="30">
        <f t="shared" si="150"/>
        <v>75.740611457249358</v>
      </c>
      <c r="AED7" s="30">
        <f t="shared" si="150"/>
        <v>75.825023179734288</v>
      </c>
      <c r="AEE7" s="30">
        <f t="shared" si="150"/>
        <v>75.812692327426632</v>
      </c>
      <c r="AEF7" s="30">
        <f t="shared" si="150"/>
        <v>75.825300479317775</v>
      </c>
      <c r="AEG7" s="30">
        <f t="shared" si="150"/>
        <v>75.859677330369877</v>
      </c>
      <c r="AEH7" s="30">
        <f t="shared" si="150"/>
        <v>75.757265531263187</v>
      </c>
      <c r="AEI7" s="30">
        <f t="shared" si="150"/>
        <v>75.841239878142957</v>
      </c>
      <c r="AEJ7" s="30">
        <f t="shared" si="150"/>
        <v>75.881713587541725</v>
      </c>
      <c r="AEK7" s="30">
        <f t="shared" si="150"/>
        <v>75.801213930302737</v>
      </c>
      <c r="AEL7" s="30">
        <f t="shared" si="150"/>
        <v>75.884966559153426</v>
      </c>
      <c r="AEM7" s="30">
        <f t="shared" si="150"/>
        <v>75.798451103478754</v>
      </c>
      <c r="AEN7" s="30">
        <f t="shared" si="150"/>
        <v>75.863470524800832</v>
      </c>
      <c r="AEO7" s="30">
        <f t="shared" si="150"/>
        <v>75.734108919950344</v>
      </c>
      <c r="AEP7" s="30">
        <f t="shared" si="150"/>
        <v>75.7927901478796</v>
      </c>
      <c r="AEQ7" s="30">
        <f t="shared" si="150"/>
        <v>75.81449443258613</v>
      </c>
      <c r="AER7" s="30">
        <f t="shared" si="150"/>
        <v>75.814642523824844</v>
      </c>
      <c r="AES7" s="30">
        <f t="shared" si="150"/>
        <v>75.845507239518497</v>
      </c>
      <c r="AET7" s="30">
        <f t="shared" si="150"/>
        <v>75.854832147099756</v>
      </c>
      <c r="AEU7" s="30">
        <f t="shared" si="150"/>
        <v>75.876413016186106</v>
      </c>
      <c r="AEV7" s="30">
        <f t="shared" si="150"/>
        <v>75.891825941167752</v>
      </c>
      <c r="AEW7" s="30">
        <f t="shared" si="150"/>
        <v>75.891891193634123</v>
      </c>
      <c r="AEX7" s="30">
        <f t="shared" si="150"/>
        <v>75.940953608551098</v>
      </c>
      <c r="AEY7" s="30">
        <f t="shared" si="150"/>
        <v>75.993040263726513</v>
      </c>
      <c r="AEZ7" s="30">
        <f t="shared" si="150"/>
        <v>75.959330907038179</v>
      </c>
      <c r="AFA7" s="30">
        <f t="shared" si="150"/>
        <v>75.962380596632997</v>
      </c>
      <c r="AFB7" s="30">
        <f t="shared" si="150"/>
        <v>75.995969398956305</v>
      </c>
      <c r="AFC7" s="30">
        <f t="shared" si="150"/>
        <v>75.944066632970831</v>
      </c>
      <c r="AFD7" s="30">
        <f t="shared" si="150"/>
        <v>76.026384286317779</v>
      </c>
      <c r="AFE7" s="30">
        <f t="shared" si="150"/>
        <v>76.044602565879643</v>
      </c>
      <c r="AFF7" s="30">
        <f t="shared" si="150"/>
        <v>75.901577169189494</v>
      </c>
      <c r="AFG7" s="30">
        <f t="shared" si="150"/>
        <v>75.983587545090259</v>
      </c>
      <c r="AFH7" s="30">
        <f t="shared" si="150"/>
        <v>76.02607622465537</v>
      </c>
      <c r="AFI7" s="30">
        <f t="shared" si="150"/>
        <v>76.047255381062257</v>
      </c>
      <c r="AFJ7" s="30">
        <f t="shared" si="150"/>
        <v>76.074474116238918</v>
      </c>
      <c r="AFK7" s="30">
        <f t="shared" si="150"/>
        <v>76.101655218978124</v>
      </c>
      <c r="AFL7" s="30">
        <f t="shared" si="150"/>
        <v>76.074219761294231</v>
      </c>
      <c r="AFM7" s="30">
        <f t="shared" si="150"/>
        <v>76.086202165177724</v>
      </c>
      <c r="AFN7" s="30">
        <f t="shared" si="150"/>
        <v>76.11632100948853</v>
      </c>
      <c r="AFO7" s="30">
        <f t="shared" si="150"/>
        <v>76.094989422955322</v>
      </c>
      <c r="AFP7" s="30">
        <f t="shared" si="150"/>
        <v>76.100879770608614</v>
      </c>
      <c r="AFQ7" s="30">
        <f t="shared" si="150"/>
        <v>76.139957932673227</v>
      </c>
      <c r="AFR7" s="30">
        <f t="shared" si="150"/>
        <v>76.016296754966334</v>
      </c>
      <c r="AFS7" s="30">
        <f t="shared" si="150"/>
        <v>76.097408479814248</v>
      </c>
      <c r="AFT7" s="30">
        <f t="shared" si="150"/>
        <v>76.049182577898293</v>
      </c>
      <c r="AFU7" s="30">
        <f t="shared" si="150"/>
        <v>76.124149960153275</v>
      </c>
      <c r="AFV7" s="30">
        <f t="shared" si="150"/>
        <v>76.00106795283051</v>
      </c>
      <c r="AFW7" s="30">
        <f t="shared" si="150"/>
        <v>76.081826871156139</v>
      </c>
      <c r="AFX7" s="30">
        <f t="shared" si="150"/>
        <v>76.150594533757541</v>
      </c>
      <c r="AFY7" s="30">
        <f t="shared" si="150"/>
        <v>76.072592113849865</v>
      </c>
      <c r="AFZ7" s="30">
        <f t="shared" si="150"/>
        <v>76.099352927751795</v>
      </c>
      <c r="AGA7" s="30">
        <f t="shared" si="150"/>
        <v>76.075328692476845</v>
      </c>
      <c r="AGB7" s="30">
        <f t="shared" si="150"/>
        <v>76.131867608015128</v>
      </c>
      <c r="AGC7" s="30">
        <f t="shared" si="150"/>
        <v>76.092943616381334</v>
      </c>
      <c r="AGD7" s="30">
        <f t="shared" si="150"/>
        <v>76.134478057855631</v>
      </c>
      <c r="AGE7" s="30">
        <f t="shared" ref="AGE7:AIC7" si="151">((5/AGE$6)*100)</f>
        <v>76.104547332652828</v>
      </c>
      <c r="AGF7" s="30">
        <f t="shared" si="151"/>
        <v>76.143023932338124</v>
      </c>
      <c r="AGG7" s="30">
        <f t="shared" si="151"/>
        <v>76.089403802100179</v>
      </c>
      <c r="AGH7" s="30">
        <f t="shared" si="151"/>
        <v>76.163409725934898</v>
      </c>
      <c r="AGI7" s="30">
        <f t="shared" si="151"/>
        <v>76.130585906593851</v>
      </c>
      <c r="AGJ7" s="30">
        <f t="shared" si="151"/>
        <v>76.177795083131841</v>
      </c>
      <c r="AGK7" s="30">
        <f t="shared" si="151"/>
        <v>76.142053100535477</v>
      </c>
      <c r="AGL7" s="30">
        <f t="shared" si="151"/>
        <v>76.221727061572381</v>
      </c>
      <c r="AGM7" s="30">
        <f t="shared" si="151"/>
        <v>76.221452659802694</v>
      </c>
      <c r="AGN7" s="30">
        <f t="shared" si="151"/>
        <v>76.209360370109252</v>
      </c>
      <c r="AGO7" s="30">
        <f t="shared" si="151"/>
        <v>76.250437432641576</v>
      </c>
      <c r="AGP7" s="30">
        <f t="shared" si="151"/>
        <v>76.220632809229429</v>
      </c>
      <c r="AGQ7" s="30">
        <f t="shared" si="151"/>
        <v>76.27047583803926</v>
      </c>
      <c r="AGR7" s="30">
        <f t="shared" si="151"/>
        <v>76.234806912759112</v>
      </c>
      <c r="AGS7" s="30">
        <f t="shared" si="151"/>
        <v>76.228639007089569</v>
      </c>
      <c r="AGT7" s="30">
        <f t="shared" si="151"/>
        <v>76.213673858185842</v>
      </c>
      <c r="AGU7" s="30">
        <f t="shared" si="151"/>
        <v>76.263313340533415</v>
      </c>
      <c r="AGV7" s="30">
        <f t="shared" si="151"/>
        <v>76.301165860255992</v>
      </c>
      <c r="AGW7" s="30">
        <f t="shared" si="151"/>
        <v>76.315488228335937</v>
      </c>
      <c r="AGX7" s="30">
        <f t="shared" si="151"/>
        <v>76.244805870588991</v>
      </c>
      <c r="AGY7" s="30">
        <f t="shared" si="151"/>
        <v>76.305968201445296</v>
      </c>
      <c r="AGZ7" s="30">
        <f t="shared" si="151"/>
        <v>76.34073902438837</v>
      </c>
      <c r="AHA7" s="30">
        <f t="shared" si="151"/>
        <v>76.346199660949281</v>
      </c>
      <c r="AHB7" s="30">
        <f t="shared" si="151"/>
        <v>76.301981968854392</v>
      </c>
      <c r="AHC7" s="30">
        <f t="shared" si="151"/>
        <v>76.263731292460875</v>
      </c>
      <c r="AHD7" s="30">
        <f t="shared" si="151"/>
        <v>76.29545326449076</v>
      </c>
      <c r="AHE7" s="30">
        <f t="shared" si="151"/>
        <v>76.29802006637928</v>
      </c>
      <c r="AHF7" s="30">
        <f t="shared" si="151"/>
        <v>76.341315386031567</v>
      </c>
      <c r="AHG7" s="30">
        <f t="shared" si="151"/>
        <v>76.361288576168334</v>
      </c>
      <c r="AHH7" s="30">
        <f t="shared" si="151"/>
        <v>76.29698407074153</v>
      </c>
      <c r="AHI7" s="30">
        <f t="shared" si="151"/>
        <v>76.3372476194792</v>
      </c>
      <c r="AHJ7" s="30">
        <f t="shared" si="151"/>
        <v>76.365866205482689</v>
      </c>
      <c r="AHK7" s="30">
        <f t="shared" si="151"/>
        <v>76.342273220951839</v>
      </c>
      <c r="AHL7" s="30">
        <f t="shared" si="151"/>
        <v>76.373729803243975</v>
      </c>
      <c r="AHM7" s="30">
        <f t="shared" si="151"/>
        <v>76.324155959326504</v>
      </c>
      <c r="AHN7" s="30">
        <f t="shared" si="151"/>
        <v>76.401806565769832</v>
      </c>
      <c r="AHO7" s="30">
        <f t="shared" si="151"/>
        <v>76.412920289975688</v>
      </c>
      <c r="AHP7" s="30">
        <f t="shared" si="151"/>
        <v>76.412462834897838</v>
      </c>
      <c r="AHQ7" s="30">
        <f t="shared" si="151"/>
        <v>76.466856453576</v>
      </c>
      <c r="AHR7" s="30">
        <f t="shared" si="151"/>
        <v>76.41155065059948</v>
      </c>
      <c r="AHS7" s="30">
        <f t="shared" si="151"/>
        <v>76.488908655647833</v>
      </c>
      <c r="AHT7" s="30">
        <f t="shared" si="151"/>
        <v>76.413518341879353</v>
      </c>
      <c r="AHU7" s="30">
        <f t="shared" si="151"/>
        <v>76.476331930163255</v>
      </c>
      <c r="AHV7" s="30">
        <f t="shared" si="151"/>
        <v>76.346639869521567</v>
      </c>
      <c r="AHW7" s="30">
        <f t="shared" si="151"/>
        <v>76.340526140705947</v>
      </c>
      <c r="AHX7" s="30">
        <f t="shared" si="151"/>
        <v>76.417430853473974</v>
      </c>
      <c r="AHY7" s="30">
        <f t="shared" si="151"/>
        <v>76.359765291043004</v>
      </c>
      <c r="AHZ7" s="30">
        <f t="shared" si="151"/>
        <v>76.393645305726466</v>
      </c>
      <c r="AIA7" s="30">
        <f t="shared" si="151"/>
        <v>76.387501988167855</v>
      </c>
      <c r="AIB7" s="30">
        <f t="shared" si="151"/>
        <v>76.327232079104562</v>
      </c>
      <c r="AIC7" s="30">
        <f t="shared" si="151"/>
        <v>76.403747245659844</v>
      </c>
      <c r="AID7" s="30">
        <f>((5/AID$6)*100)</f>
        <v>76.428941589647408</v>
      </c>
      <c r="AIE7" s="30">
        <f t="shared" ref="AIE7:AKP7" si="152">((5/AIE$6)*100)</f>
        <v>76.280735709108981</v>
      </c>
      <c r="AIF7" s="30">
        <f t="shared" si="152"/>
        <v>76.354141063494978</v>
      </c>
      <c r="AIG7" s="30">
        <f t="shared" si="152"/>
        <v>76.299911498040402</v>
      </c>
      <c r="AIH7" s="30">
        <f t="shared" si="152"/>
        <v>76.333533477039182</v>
      </c>
      <c r="AII7" s="30">
        <f t="shared" si="152"/>
        <v>76.341648890674321</v>
      </c>
      <c r="AIJ7" s="30">
        <f t="shared" si="152"/>
        <v>76.321490695662618</v>
      </c>
      <c r="AIK7" s="30">
        <f t="shared" si="152"/>
        <v>76.338068759296306</v>
      </c>
      <c r="AIL7" s="30">
        <f t="shared" si="152"/>
        <v>76.289773522027815</v>
      </c>
      <c r="AIM7" s="30">
        <f t="shared" si="152"/>
        <v>76.331685238249349</v>
      </c>
      <c r="AIN7" s="30">
        <f t="shared" si="152"/>
        <v>76.353842147468413</v>
      </c>
      <c r="AIO7" s="30">
        <f t="shared" si="152"/>
        <v>76.36470959739286</v>
      </c>
      <c r="AIP7" s="30">
        <f t="shared" si="152"/>
        <v>76.271636468639414</v>
      </c>
      <c r="AIQ7" s="30">
        <f t="shared" si="152"/>
        <v>76.347062270958801</v>
      </c>
      <c r="AIR7" s="30">
        <f t="shared" si="152"/>
        <v>76.327051203183188</v>
      </c>
      <c r="AIS7" s="30">
        <f t="shared" si="152"/>
        <v>76.321088690975913</v>
      </c>
      <c r="AIT7" s="30">
        <f t="shared" si="152"/>
        <v>76.354321016449845</v>
      </c>
      <c r="AIU7" s="30">
        <f t="shared" si="152"/>
        <v>76.365125556871789</v>
      </c>
      <c r="AIV7" s="30">
        <f t="shared" si="152"/>
        <v>76.297693556568333</v>
      </c>
      <c r="AIW7" s="30">
        <f t="shared" si="152"/>
        <v>76.325252019548614</v>
      </c>
      <c r="AIX7" s="30">
        <f t="shared" si="152"/>
        <v>76.324894258980223</v>
      </c>
      <c r="AIY7" s="30">
        <f t="shared" si="152"/>
        <v>76.346820687740333</v>
      </c>
      <c r="AIZ7" s="30">
        <f t="shared" si="152"/>
        <v>76.354794402865394</v>
      </c>
      <c r="AJA7" s="30">
        <f t="shared" si="152"/>
        <v>76.365536757909879</v>
      </c>
      <c r="AJB7" s="30">
        <f t="shared" si="152"/>
        <v>76.320693588494251</v>
      </c>
      <c r="AJC7" s="30">
        <f t="shared" si="152"/>
        <v>76.39530569035891</v>
      </c>
      <c r="AJD7" s="30">
        <f t="shared" si="152"/>
        <v>76.336620819662102</v>
      </c>
      <c r="AJE7" s="30">
        <f t="shared" si="152"/>
        <v>76.355646601680178</v>
      </c>
      <c r="AJF7" s="30">
        <f t="shared" si="152"/>
        <v>76.324822789417851</v>
      </c>
      <c r="AJG7" s="30">
        <f t="shared" si="152"/>
        <v>76.266479420641048</v>
      </c>
      <c r="AJH7" s="30">
        <f t="shared" si="152"/>
        <v>76.324114875389128</v>
      </c>
      <c r="AJI7" s="30">
        <f t="shared" si="152"/>
        <v>76.282411356370616</v>
      </c>
      <c r="AJJ7" s="30">
        <f t="shared" si="152"/>
        <v>76.24633177238745</v>
      </c>
      <c r="AJK7" s="30">
        <f t="shared" si="152"/>
        <v>76.251548814540669</v>
      </c>
      <c r="AJL7" s="30">
        <f t="shared" si="152"/>
        <v>76.2732336264271</v>
      </c>
      <c r="AJM7" s="30">
        <f t="shared" si="152"/>
        <v>76.289398796354817</v>
      </c>
      <c r="AJN7" s="30">
        <f t="shared" si="152"/>
        <v>76.324752397755404</v>
      </c>
      <c r="AJO7" s="30">
        <f t="shared" si="152"/>
        <v>76.305207032839689</v>
      </c>
      <c r="AJP7" s="30">
        <f t="shared" si="152"/>
        <v>76.258345195344035</v>
      </c>
      <c r="AJQ7" s="30">
        <f t="shared" si="152"/>
        <v>76.293599569314026</v>
      </c>
      <c r="AJR7" s="30">
        <f t="shared" si="152"/>
        <v>76.317880813684752</v>
      </c>
      <c r="AJS7" s="30">
        <f t="shared" si="152"/>
        <v>76.298418718850783</v>
      </c>
      <c r="AJT7" s="30">
        <f t="shared" si="152"/>
        <v>76.366352941951135</v>
      </c>
      <c r="AJU7" s="30">
        <f t="shared" si="152"/>
        <v>76.365964004459542</v>
      </c>
      <c r="AJV7" s="30">
        <f t="shared" si="152"/>
        <v>76.316509766871263</v>
      </c>
      <c r="AJW7" s="30">
        <f t="shared" si="152"/>
        <v>76.376090143772629</v>
      </c>
      <c r="AJX7" s="30">
        <f t="shared" si="152"/>
        <v>76.283214003404325</v>
      </c>
      <c r="AJY7" s="30">
        <f t="shared" si="152"/>
        <v>76.339944049657433</v>
      </c>
      <c r="AJZ7" s="30">
        <f t="shared" si="152"/>
        <v>76.312435200216669</v>
      </c>
      <c r="AKA7" s="30">
        <f t="shared" si="152"/>
        <v>76.331081874395707</v>
      </c>
      <c r="AKB7" s="30">
        <f t="shared" si="152"/>
        <v>76.279274388967536</v>
      </c>
      <c r="AKC7" s="30">
        <f t="shared" si="152"/>
        <v>76.287082186427483</v>
      </c>
      <c r="AKD7" s="30">
        <f t="shared" si="152"/>
        <v>76.294877078822893</v>
      </c>
      <c r="AKE7" s="30">
        <f t="shared" si="152"/>
        <v>76.29725864940545</v>
      </c>
      <c r="AKF7" s="30">
        <f t="shared" si="152"/>
        <v>76.296938350235337</v>
      </c>
      <c r="AKG7" s="30">
        <f t="shared" si="152"/>
        <v>76.296618646893592</v>
      </c>
      <c r="AKH7" s="30">
        <f t="shared" si="152"/>
        <v>76.298992105136492</v>
      </c>
      <c r="AKI7" s="30">
        <f t="shared" si="152"/>
        <v>76.295981021057415</v>
      </c>
      <c r="AKJ7" s="30">
        <f t="shared" si="152"/>
        <v>76.252688030468391</v>
      </c>
      <c r="AKK7" s="30">
        <f t="shared" si="152"/>
        <v>76.249728835143301</v>
      </c>
      <c r="AKL7" s="30">
        <f t="shared" si="152"/>
        <v>76.206610519602663</v>
      </c>
      <c r="AKM7" s="30">
        <f t="shared" si="152"/>
        <v>76.249180637257794</v>
      </c>
      <c r="AKN7" s="30">
        <f t="shared" si="152"/>
        <v>76.190118386967569</v>
      </c>
      <c r="AKO7" s="30">
        <f t="shared" si="152"/>
        <v>76.211247491263023</v>
      </c>
      <c r="AKP7" s="30">
        <f t="shared" si="152"/>
        <v>76.235017788870863</v>
      </c>
      <c r="AKQ7" s="30">
        <f t="shared" ref="AKQ7:ANB7" si="153">((5/AKQ$6)*100)</f>
        <v>76.253424408371373</v>
      </c>
      <c r="AKR7" s="30">
        <f t="shared" si="153"/>
        <v>76.17594786688494</v>
      </c>
      <c r="AKS7" s="30">
        <f t="shared" si="153"/>
        <v>76.228919073927528</v>
      </c>
      <c r="AKT7" s="30">
        <f t="shared" si="153"/>
        <v>76.133090951947835</v>
      </c>
      <c r="AKU7" s="30">
        <f t="shared" si="153"/>
        <v>76.119682963607843</v>
      </c>
      <c r="AKV7" s="30">
        <f t="shared" si="153"/>
        <v>76.148644936601912</v>
      </c>
      <c r="AKW7" s="30">
        <f t="shared" si="153"/>
        <v>76.156403016349444</v>
      </c>
      <c r="AKX7" s="30">
        <f t="shared" si="153"/>
        <v>76.150930728198645</v>
      </c>
      <c r="AKY7" s="30">
        <f t="shared" si="153"/>
        <v>76.097973160286458</v>
      </c>
      <c r="AKZ7" s="30">
        <f t="shared" si="153"/>
        <v>76.147931804157224</v>
      </c>
      <c r="ALA7" s="30">
        <f t="shared" si="153"/>
        <v>76.087182076626718</v>
      </c>
      <c r="ALB7" s="30">
        <f t="shared" si="153"/>
        <v>76.097577968223689</v>
      </c>
      <c r="ALC7" s="30">
        <f t="shared" si="153"/>
        <v>76.018705844307064</v>
      </c>
      <c r="ALD7" s="30">
        <f t="shared" si="153"/>
        <v>76.060583116426201</v>
      </c>
      <c r="ALE7" s="30">
        <f t="shared" si="153"/>
        <v>76.099807654978918</v>
      </c>
      <c r="ALF7" s="30">
        <f t="shared" si="153"/>
        <v>76.057770867189362</v>
      </c>
      <c r="ALG7" s="30">
        <f t="shared" si="153"/>
        <v>76.044602565879657</v>
      </c>
      <c r="ALH7" s="30">
        <f t="shared" si="153"/>
        <v>76.091563377123677</v>
      </c>
      <c r="ALI7" s="30">
        <f t="shared" si="153"/>
        <v>76.091438284761637</v>
      </c>
      <c r="ALJ7" s="30">
        <f t="shared" si="153"/>
        <v>76.117426470497392</v>
      </c>
      <c r="ALK7" s="30">
        <f t="shared" si="153"/>
        <v>76.140774001835609</v>
      </c>
      <c r="ALL7" s="30">
        <f t="shared" si="153"/>
        <v>76.143213939951451</v>
      </c>
      <c r="ALM7" s="30">
        <f t="shared" si="153"/>
        <v>76.179556859681369</v>
      </c>
      <c r="ALN7" s="30">
        <f t="shared" si="153"/>
        <v>76.145476308768338</v>
      </c>
      <c r="ALO7" s="30">
        <f t="shared" si="153"/>
        <v>76.210418470450065</v>
      </c>
      <c r="ALP7" s="30">
        <f t="shared" si="153"/>
        <v>76.116540909398097</v>
      </c>
      <c r="ALQ7" s="30">
        <f t="shared" si="153"/>
        <v>76.186543981754554</v>
      </c>
      <c r="ALR7" s="30">
        <f t="shared" si="153"/>
        <v>76.18373634779941</v>
      </c>
      <c r="ALS7" s="30">
        <f t="shared" si="153"/>
        <v>76.183529529771818</v>
      </c>
      <c r="ALT7" s="30">
        <f t="shared" si="153"/>
        <v>76.222243080975261</v>
      </c>
      <c r="ALU7" s="30">
        <f t="shared" si="153"/>
        <v>76.154626529552075</v>
      </c>
      <c r="ALV7" s="30">
        <f t="shared" si="153"/>
        <v>76.211397499477542</v>
      </c>
      <c r="ALW7" s="30">
        <f t="shared" si="153"/>
        <v>76.154266552964671</v>
      </c>
      <c r="ALX7" s="30">
        <f t="shared" si="153"/>
        <v>76.161834199417044</v>
      </c>
      <c r="ALY7" s="30">
        <f t="shared" si="153"/>
        <v>76.159067834691996</v>
      </c>
      <c r="ALZ7" s="30">
        <f t="shared" si="153"/>
        <v>76.17951278969376</v>
      </c>
      <c r="AMA7" s="30">
        <f t="shared" si="153"/>
        <v>76.197354124699473</v>
      </c>
      <c r="AMB7" s="30">
        <f t="shared" si="153"/>
        <v>76.210018310690998</v>
      </c>
      <c r="AMC7" s="30">
        <f t="shared" si="153"/>
        <v>76.196919861105442</v>
      </c>
      <c r="AMD7" s="30">
        <f t="shared" si="153"/>
        <v>76.240440063331562</v>
      </c>
      <c r="AME7" s="30">
        <f t="shared" si="153"/>
        <v>76.201625454849534</v>
      </c>
      <c r="AMF7" s="30">
        <f t="shared" si="153"/>
        <v>76.216810476758724</v>
      </c>
      <c r="AMG7" s="30">
        <f t="shared" si="153"/>
        <v>76.175546142327676</v>
      </c>
      <c r="AMH7" s="30">
        <f t="shared" si="153"/>
        <v>76.229163299822559</v>
      </c>
      <c r="AMI7" s="30">
        <f t="shared" si="153"/>
        <v>76.259676707389602</v>
      </c>
      <c r="AMJ7" s="30">
        <f t="shared" si="153"/>
        <v>76.295288984371894</v>
      </c>
      <c r="AMK7" s="30">
        <f t="shared" si="153"/>
        <v>76.27193523116172</v>
      </c>
      <c r="AML7" s="30">
        <f t="shared" si="153"/>
        <v>76.289565399078967</v>
      </c>
      <c r="AMM7" s="30">
        <f t="shared" si="153"/>
        <v>76.314848508990281</v>
      </c>
      <c r="AMN7" s="30">
        <f t="shared" si="153"/>
        <v>76.214952664425226</v>
      </c>
      <c r="AMO7" s="30">
        <f t="shared" si="153"/>
        <v>76.1205749907854</v>
      </c>
      <c r="AMP7" s="30">
        <f t="shared" si="153"/>
        <v>76.057002356900512</v>
      </c>
      <c r="AMQ7" s="30">
        <f t="shared" si="153"/>
        <v>76.051846315068289</v>
      </c>
      <c r="AMR7" s="30">
        <f t="shared" si="153"/>
        <v>76.06694370207633</v>
      </c>
      <c r="AMS7" s="30">
        <f t="shared" si="153"/>
        <v>76.127586641045923</v>
      </c>
      <c r="AMT7" s="30">
        <f t="shared" si="153"/>
        <v>76.140089785457846</v>
      </c>
      <c r="AMU7" s="30">
        <f t="shared" si="153"/>
        <v>76.152575206316328</v>
      </c>
      <c r="AMV7" s="30">
        <f t="shared" si="153"/>
        <v>76.11197471622576</v>
      </c>
      <c r="AMW7" s="30">
        <f t="shared" si="153"/>
        <v>76.139600232610462</v>
      </c>
      <c r="AMX7" s="30">
        <f t="shared" si="153"/>
        <v>76.139437617812362</v>
      </c>
      <c r="AMY7" s="30">
        <f t="shared" si="153"/>
        <v>76.174578887056271</v>
      </c>
      <c r="AMZ7" s="30">
        <f t="shared" si="153"/>
        <v>76.146668937173771</v>
      </c>
      <c r="ANA7" s="30">
        <f t="shared" si="153"/>
        <v>76.17923068499411</v>
      </c>
      <c r="ANB7" s="30">
        <f t="shared" si="153"/>
        <v>76.196654246545933</v>
      </c>
      <c r="ANC7" s="30">
        <f t="shared" ref="ANC7:APO7" si="154">((5/ANC$6)*100)</f>
        <v>76.126072163822244</v>
      </c>
      <c r="AND7" s="30">
        <f t="shared" si="154"/>
        <v>76.193718075326885</v>
      </c>
      <c r="ANE7" s="30">
        <f t="shared" si="154"/>
        <v>76.173426597019372</v>
      </c>
      <c r="ANF7" s="30">
        <f t="shared" si="154"/>
        <v>76.185775292656771</v>
      </c>
      <c r="ANG7" s="30">
        <f t="shared" si="154"/>
        <v>76.253300029474076</v>
      </c>
      <c r="ANH7" s="30">
        <f t="shared" si="154"/>
        <v>76.162843651153409</v>
      </c>
      <c r="ANI7" s="30">
        <f t="shared" si="154"/>
        <v>76.230231069602141</v>
      </c>
      <c r="ANJ7" s="30">
        <f t="shared" si="154"/>
        <v>76.227489090145809</v>
      </c>
      <c r="ANK7" s="30">
        <f t="shared" si="154"/>
        <v>76.274786680032918</v>
      </c>
      <c r="ANL7" s="30">
        <f t="shared" si="154"/>
        <v>76.249505164969705</v>
      </c>
      <c r="ANM7" s="30">
        <f t="shared" si="154"/>
        <v>76.28422927107141</v>
      </c>
      <c r="ANN7" s="30">
        <f t="shared" si="154"/>
        <v>76.268961675010431</v>
      </c>
      <c r="ANO7" s="30">
        <f t="shared" si="154"/>
        <v>76.316112595980925</v>
      </c>
      <c r="ANP7" s="30">
        <f t="shared" si="154"/>
        <v>76.233542994085141</v>
      </c>
      <c r="ANQ7" s="30">
        <f t="shared" si="154"/>
        <v>76.300532117820566</v>
      </c>
      <c r="ANR7" s="30">
        <f t="shared" si="154"/>
        <v>76.28031849023175</v>
      </c>
      <c r="ANS7" s="30">
        <f t="shared" si="154"/>
        <v>76.292472736852261</v>
      </c>
      <c r="ANT7" s="30">
        <f t="shared" si="154"/>
        <v>76.264853573434976</v>
      </c>
      <c r="ANU7" s="30">
        <f t="shared" si="154"/>
        <v>76.286925280211264</v>
      </c>
      <c r="ANV7" s="30">
        <f t="shared" si="154"/>
        <v>76.271758421006837</v>
      </c>
      <c r="ANW7" s="30">
        <f t="shared" si="154"/>
        <v>76.271485950454448</v>
      </c>
      <c r="ANX7" s="30">
        <f t="shared" si="154"/>
        <v>76.300930871356627</v>
      </c>
      <c r="ANY7" s="30">
        <f t="shared" si="154"/>
        <v>76.290734127051053</v>
      </c>
      <c r="ANZ7" s="30">
        <f t="shared" si="154"/>
        <v>76.305283891312754</v>
      </c>
      <c r="AOA7" s="30">
        <f t="shared" si="154"/>
        <v>76.314870231033225</v>
      </c>
      <c r="AOB7" s="30">
        <f t="shared" si="154"/>
        <v>76.284935297563663</v>
      </c>
      <c r="AOC7" s="30">
        <f t="shared" si="154"/>
        <v>76.324126573861705</v>
      </c>
      <c r="AOD7" s="30">
        <f t="shared" si="154"/>
        <v>76.321344785972585</v>
      </c>
      <c r="AOE7" s="30">
        <f t="shared" si="154"/>
        <v>76.33088910891243</v>
      </c>
      <c r="AOF7" s="30">
        <f t="shared" si="154"/>
        <v>76.333030883324795</v>
      </c>
      <c r="AOG7" s="30">
        <f t="shared" si="154"/>
        <v>76.24177503215806</v>
      </c>
      <c r="AOH7" s="30">
        <f t="shared" si="154"/>
        <v>76.278338046283253</v>
      </c>
      <c r="AOI7" s="30">
        <f t="shared" si="154"/>
        <v>76.295237092917304</v>
      </c>
      <c r="AOJ7" s="30">
        <f t="shared" si="154"/>
        <v>76.265535649415497</v>
      </c>
      <c r="AOK7" s="30">
        <f t="shared" si="154"/>
        <v>76.272616307393534</v>
      </c>
      <c r="AOL7" s="30">
        <f t="shared" si="154"/>
        <v>76.255225791787709</v>
      </c>
      <c r="AOM7" s="30">
        <f t="shared" si="154"/>
        <v>76.272077241181265</v>
      </c>
      <c r="AON7" s="30">
        <f t="shared" si="154"/>
        <v>76.298682371083743</v>
      </c>
      <c r="AOO7" s="30">
        <f t="shared" si="154"/>
        <v>76.327705061551384</v>
      </c>
      <c r="AOP7" s="30">
        <f t="shared" si="154"/>
        <v>76.320065242460473</v>
      </c>
      <c r="AOQ7" s="30">
        <f t="shared" si="154"/>
        <v>76.317317434787043</v>
      </c>
      <c r="AOR7" s="30">
        <f t="shared" si="154"/>
        <v>76.295085128076778</v>
      </c>
      <c r="AOS7" s="30">
        <f t="shared" si="154"/>
        <v>76.149067785149612</v>
      </c>
      <c r="AOT7" s="30">
        <f t="shared" si="154"/>
        <v>76.211932076258805</v>
      </c>
      <c r="AOU7" s="30">
        <f t="shared" si="154"/>
        <v>76.269939050259723</v>
      </c>
      <c r="AOV7" s="30">
        <f t="shared" si="154"/>
        <v>76.20907702862651</v>
      </c>
      <c r="AOW7" s="30">
        <f t="shared" si="154"/>
        <v>76.218543971748318</v>
      </c>
      <c r="AOX7" s="30">
        <f t="shared" si="154"/>
        <v>76.237675173674006</v>
      </c>
      <c r="AOY7" s="30">
        <f t="shared" si="154"/>
        <v>76.213268311537533</v>
      </c>
      <c r="AOZ7" s="30">
        <f t="shared" si="154"/>
        <v>76.268617182133895</v>
      </c>
      <c r="APA7" s="30">
        <f t="shared" si="154"/>
        <v>76.236963732480703</v>
      </c>
      <c r="APB7" s="30">
        <f t="shared" si="154"/>
        <v>76.236727375564897</v>
      </c>
      <c r="APC7" s="30">
        <f t="shared" si="154"/>
        <v>76.209994808115113</v>
      </c>
      <c r="APD7" s="30">
        <f t="shared" si="154"/>
        <v>76.219406307026418</v>
      </c>
      <c r="APE7" s="30">
        <f t="shared" si="154"/>
        <v>76.216780714226957</v>
      </c>
      <c r="APF7" s="30">
        <f t="shared" si="154"/>
        <v>76.230978983579377</v>
      </c>
      <c r="APG7" s="30">
        <f t="shared" si="154"/>
        <v>76.225946304175537</v>
      </c>
      <c r="APH7" s="30">
        <f t="shared" si="154"/>
        <v>76.232917940520196</v>
      </c>
      <c r="API7" s="30">
        <f t="shared" si="154"/>
        <v>76.230288935437727</v>
      </c>
      <c r="APJ7" s="30">
        <f t="shared" si="154"/>
        <v>76.18696847341792</v>
      </c>
      <c r="APK7" s="30">
        <f t="shared" si="154"/>
        <v>76.205905091383059</v>
      </c>
      <c r="APL7" s="30">
        <f t="shared" si="154"/>
        <v>76.222428967283321</v>
      </c>
      <c r="APM7" s="30">
        <f t="shared" si="154"/>
        <v>76.188776741571431</v>
      </c>
      <c r="APN7" s="30">
        <f t="shared" si="154"/>
        <v>76.159975248320947</v>
      </c>
      <c r="APO7" s="30">
        <f t="shared" si="154"/>
        <v>76.155043164528408</v>
      </c>
      <c r="APP7" s="30">
        <f t="shared" ref="APP7:ASA7" si="155">((5/APP$6)*100)</f>
        <v>76.090703114300723</v>
      </c>
      <c r="APQ7" s="30">
        <f t="shared" si="155"/>
        <v>76.133325678397853</v>
      </c>
      <c r="APR7" s="30">
        <f t="shared" si="155"/>
        <v>76.099962317741841</v>
      </c>
      <c r="APS7" s="30">
        <f t="shared" si="155"/>
        <v>76.144890141990913</v>
      </c>
      <c r="APT7" s="30">
        <f t="shared" si="155"/>
        <v>76.151844910759124</v>
      </c>
      <c r="APU7" s="30">
        <f t="shared" si="155"/>
        <v>76.106699603125946</v>
      </c>
      <c r="APV7" s="30">
        <f t="shared" si="155"/>
        <v>76.170460162849324</v>
      </c>
      <c r="APW7" s="30">
        <f t="shared" si="155"/>
        <v>76.170282456306467</v>
      </c>
      <c r="APX7" s="30">
        <f t="shared" si="155"/>
        <v>76.210318616274023</v>
      </c>
      <c r="APY7" s="30">
        <f t="shared" si="155"/>
        <v>76.177015533411563</v>
      </c>
      <c r="APZ7" s="30">
        <f t="shared" si="155"/>
        <v>76.212261752966356</v>
      </c>
      <c r="AQA7" s="30">
        <f t="shared" si="155"/>
        <v>76.167216143982046</v>
      </c>
      <c r="AQB7" s="30">
        <f t="shared" si="155"/>
        <v>76.192970861109316</v>
      </c>
      <c r="AQC7" s="30">
        <f t="shared" si="155"/>
        <v>76.199844483044672</v>
      </c>
      <c r="AQD7" s="30">
        <f t="shared" si="155"/>
        <v>76.213773887269625</v>
      </c>
      <c r="AQE7" s="30">
        <f t="shared" si="155"/>
        <v>76.206502082030809</v>
      </c>
      <c r="AQF7" s="30">
        <f t="shared" si="155"/>
        <v>76.185141614915253</v>
      </c>
      <c r="AQG7" s="30">
        <f t="shared" si="155"/>
        <v>76.227240063261206</v>
      </c>
      <c r="AQH7" s="30">
        <f t="shared" si="155"/>
        <v>76.191804274896086</v>
      </c>
      <c r="AQI7" s="30">
        <f t="shared" si="155"/>
        <v>76.23148954113816</v>
      </c>
      <c r="AQJ7" s="30">
        <f t="shared" si="155"/>
        <v>76.231264121087989</v>
      </c>
      <c r="AQK7" s="30">
        <f t="shared" si="155"/>
        <v>76.202930863047342</v>
      </c>
      <c r="AQL7" s="30">
        <f t="shared" si="155"/>
        <v>76.265950246085211</v>
      </c>
      <c r="AQM7" s="30">
        <f t="shared" si="155"/>
        <v>76.174485448097329</v>
      </c>
      <c r="AQN7" s="30">
        <f t="shared" si="155"/>
        <v>76.237379279060576</v>
      </c>
      <c r="AQO7" s="30">
        <f t="shared" si="155"/>
        <v>76.185791423390654</v>
      </c>
      <c r="AQP7" s="30">
        <f t="shared" si="155"/>
        <v>76.248593688086302</v>
      </c>
      <c r="AQQ7" s="30">
        <f t="shared" si="155"/>
        <v>76.208715488033036</v>
      </c>
      <c r="AQR7" s="30">
        <f t="shared" si="155"/>
        <v>76.271436279832855</v>
      </c>
      <c r="AQS7" s="30">
        <f t="shared" si="155"/>
        <v>76.226923642611055</v>
      </c>
      <c r="AQT7" s="30">
        <f t="shared" si="155"/>
        <v>76.233682543414432</v>
      </c>
      <c r="AQU7" s="30">
        <f t="shared" si="155"/>
        <v>76.159142143422898</v>
      </c>
      <c r="AQV7" s="30">
        <f t="shared" si="155"/>
        <v>76.210012131464282</v>
      </c>
      <c r="AQW7" s="30">
        <f t="shared" si="155"/>
        <v>76.172712987301551</v>
      </c>
      <c r="AQX7" s="30">
        <f t="shared" si="155"/>
        <v>76.195697795092315</v>
      </c>
      <c r="AQY7" s="30">
        <f t="shared" si="155"/>
        <v>76.227926118970018</v>
      </c>
      <c r="AQZ7" s="30">
        <f t="shared" si="155"/>
        <v>76.248547176586172</v>
      </c>
      <c r="ARA7" s="30">
        <f t="shared" si="155"/>
        <v>76.197428021337231</v>
      </c>
      <c r="ARB7" s="30">
        <f t="shared" si="155"/>
        <v>76.169529497725875</v>
      </c>
      <c r="ARC7" s="30">
        <f t="shared" si="155"/>
        <v>76.118659914655112</v>
      </c>
      <c r="ARD7" s="30">
        <f t="shared" si="155"/>
        <v>76.139243254540816</v>
      </c>
      <c r="ARE7" s="30">
        <f t="shared" si="155"/>
        <v>76.198954260065818</v>
      </c>
      <c r="ARF7" s="30">
        <f t="shared" si="155"/>
        <v>76.201061062007113</v>
      </c>
      <c r="ARG7" s="30">
        <f t="shared" si="155"/>
        <v>76.1135435546786</v>
      </c>
      <c r="ARH7" s="30">
        <f t="shared" si="155"/>
        <v>76.175389884704359</v>
      </c>
      <c r="ARI7" s="30">
        <f t="shared" si="155"/>
        <v>76.12245694383752</v>
      </c>
      <c r="ARJ7" s="30">
        <f t="shared" si="155"/>
        <v>76.184212824362561</v>
      </c>
      <c r="ARK7" s="30">
        <f t="shared" si="155"/>
        <v>76.1450812803633</v>
      </c>
      <c r="ARL7" s="30">
        <f t="shared" si="155"/>
        <v>76.206758378623334</v>
      </c>
      <c r="ARM7" s="30">
        <f t="shared" si="155"/>
        <v>76.181376080778207</v>
      </c>
      <c r="ARN7" s="30">
        <f t="shared" si="155"/>
        <v>76.144626547509034</v>
      </c>
      <c r="ARO7" s="30">
        <f t="shared" si="155"/>
        <v>76.206157457522579</v>
      </c>
      <c r="ARP7" s="30">
        <f t="shared" si="155"/>
        <v>76.208242410084765</v>
      </c>
      <c r="ARQ7" s="30">
        <f t="shared" si="155"/>
        <v>76.217173886366425</v>
      </c>
      <c r="ARR7" s="30">
        <f t="shared" si="155"/>
        <v>76.248922003162818</v>
      </c>
      <c r="ARS7" s="30">
        <f t="shared" si="155"/>
        <v>76.237282017623855</v>
      </c>
      <c r="ART7" s="30">
        <f t="shared" si="155"/>
        <v>76.257577162201358</v>
      </c>
      <c r="ARU7" s="30">
        <f t="shared" si="155"/>
        <v>76.25050226134131</v>
      </c>
      <c r="ARV7" s="30">
        <f t="shared" si="155"/>
        <v>76.238887898506405</v>
      </c>
      <c r="ARW7" s="30">
        <f t="shared" si="155"/>
        <v>76.256859835595463</v>
      </c>
      <c r="ARX7" s="30">
        <f t="shared" si="155"/>
        <v>76.204371664271306</v>
      </c>
      <c r="ARY7" s="30">
        <f t="shared" si="155"/>
        <v>76.192834540116721</v>
      </c>
      <c r="ARZ7" s="30">
        <f t="shared" si="155"/>
        <v>76.194912892143563</v>
      </c>
      <c r="ASA7" s="30">
        <f t="shared" si="155"/>
        <v>76.206046884432865</v>
      </c>
      <c r="ASB7" s="30">
        <f t="shared" ref="ASB7:AUM7" si="156">((5/ASB$6)*100)</f>
        <v>76.147051767768943</v>
      </c>
      <c r="ASC7" s="30">
        <f t="shared" si="156"/>
        <v>76.146900417882804</v>
      </c>
      <c r="ASD7" s="30">
        <f t="shared" si="156"/>
        <v>76.13998143013994</v>
      </c>
      <c r="ASE7" s="30">
        <f t="shared" si="156"/>
        <v>76.117302563791739</v>
      </c>
      <c r="ASF7" s="30">
        <f t="shared" si="156"/>
        <v>76.1216768629494</v>
      </c>
      <c r="ASG7" s="30">
        <f t="shared" si="156"/>
        <v>76.146297374466215</v>
      </c>
      <c r="ASH7" s="30">
        <f t="shared" si="156"/>
        <v>76.148396388025759</v>
      </c>
      <c r="ASI7" s="30">
        <f t="shared" si="156"/>
        <v>76.125776305881629</v>
      </c>
      <c r="ASJ7" s="30">
        <f t="shared" si="156"/>
        <v>76.15932365329256</v>
      </c>
      <c r="ASK7" s="30">
        <f t="shared" si="156"/>
        <v>76.163653289845371</v>
      </c>
      <c r="ASL7" s="30">
        <f t="shared" si="156"/>
        <v>76.116412311479436</v>
      </c>
      <c r="ASM7" s="30">
        <f t="shared" si="156"/>
        <v>76.140919306865797</v>
      </c>
      <c r="ASN7" s="30">
        <f t="shared" si="156"/>
        <v>76.1318215140885</v>
      </c>
      <c r="ASO7" s="30">
        <f t="shared" si="156"/>
        <v>76.138392337845787</v>
      </c>
      <c r="ASP7" s="30">
        <f t="shared" si="156"/>
        <v>76.160603628861921</v>
      </c>
      <c r="ASQ7" s="30">
        <f t="shared" si="156"/>
        <v>76.140339433398552</v>
      </c>
      <c r="ASR7" s="30">
        <f t="shared" si="156"/>
        <v>76.16698194754575</v>
      </c>
      <c r="ASS7" s="30">
        <f t="shared" si="156"/>
        <v>76.140050838126257</v>
      </c>
      <c r="AST7" s="30">
        <f t="shared" si="156"/>
        <v>76.102049514181118</v>
      </c>
      <c r="ASU7" s="30">
        <f t="shared" si="156"/>
        <v>76.130859006350775</v>
      </c>
      <c r="ASV7" s="30">
        <f t="shared" si="156"/>
        <v>76.135170720995987</v>
      </c>
      <c r="ASW7" s="30">
        <f t="shared" si="156"/>
        <v>76.135030848700083</v>
      </c>
      <c r="ASX7" s="30">
        <f t="shared" si="156"/>
        <v>76.168219116997307</v>
      </c>
      <c r="ASY7" s="30">
        <f t="shared" si="156"/>
        <v>76.11700244017355</v>
      </c>
      <c r="ASZ7" s="30">
        <f t="shared" si="156"/>
        <v>76.105796257038918</v>
      </c>
      <c r="ATA7" s="30">
        <f t="shared" si="156"/>
        <v>76.103465337547959</v>
      </c>
      <c r="ATB7" s="30">
        <f t="shared" si="156"/>
        <v>76.050292889489342</v>
      </c>
      <c r="ATC7" s="30">
        <f t="shared" si="156"/>
        <v>76.012709789276528</v>
      </c>
      <c r="ATD7" s="30">
        <f t="shared" si="156"/>
        <v>76.041322397458188</v>
      </c>
      <c r="ATE7" s="30">
        <f t="shared" si="156"/>
        <v>76.039051616838279</v>
      </c>
      <c r="ATF7" s="30">
        <f t="shared" si="156"/>
        <v>75.997174965639203</v>
      </c>
      <c r="ATG7" s="30">
        <f t="shared" si="156"/>
        <v>75.992746336212718</v>
      </c>
      <c r="ATH7" s="30">
        <f t="shared" si="156"/>
        <v>76.021272081578047</v>
      </c>
      <c r="ATI7" s="30">
        <f t="shared" si="156"/>
        <v>75.972944394963264</v>
      </c>
      <c r="ATJ7" s="30">
        <f t="shared" si="156"/>
        <v>76.032140639023311</v>
      </c>
      <c r="ATK7" s="30">
        <f t="shared" si="156"/>
        <v>76.007964804275446</v>
      </c>
      <c r="ATL7" s="30">
        <f t="shared" si="156"/>
        <v>76.018874812301377</v>
      </c>
      <c r="ATM7" s="30">
        <f t="shared" si="156"/>
        <v>76.012258704267396</v>
      </c>
      <c r="ATN7" s="30">
        <f t="shared" si="156"/>
        <v>75.992536739026207</v>
      </c>
      <c r="ATO7" s="30">
        <f t="shared" si="156"/>
        <v>76.016540095102329</v>
      </c>
      <c r="ATP7" s="30">
        <f t="shared" si="156"/>
        <v>76.007757732080179</v>
      </c>
      <c r="ATQ7" s="30">
        <f t="shared" si="156"/>
        <v>75.981544977975673</v>
      </c>
      <c r="ATR7" s="30">
        <f t="shared" si="156"/>
        <v>75.970632333674487</v>
      </c>
      <c r="ATS7" s="30">
        <f t="shared" si="156"/>
        <v>75.968442960876359</v>
      </c>
      <c r="ATT7" s="30">
        <f t="shared" si="156"/>
        <v>75.935827530565746</v>
      </c>
      <c r="ATU7" s="30">
        <f t="shared" si="156"/>
        <v>75.911966812751473</v>
      </c>
      <c r="ATV7" s="30">
        <f t="shared" si="156"/>
        <v>75.970579892754003</v>
      </c>
      <c r="ATW7" s="30">
        <f t="shared" si="156"/>
        <v>75.929363997378445</v>
      </c>
      <c r="ATX7" s="30">
        <f t="shared" si="156"/>
        <v>75.938045965168001</v>
      </c>
      <c r="ATY7" s="30">
        <f t="shared" si="156"/>
        <v>75.93589277578296</v>
      </c>
      <c r="ATZ7" s="30">
        <f t="shared" si="156"/>
        <v>75.946721750924624</v>
      </c>
      <c r="AUA7" s="30">
        <f t="shared" si="156"/>
        <v>75.938080066743538</v>
      </c>
      <c r="AUB7" s="30">
        <f t="shared" si="156"/>
        <v>75.961856337068085</v>
      </c>
      <c r="AUC7" s="30">
        <f t="shared" si="156"/>
        <v>75.970488876919617</v>
      </c>
      <c r="AUD7" s="30">
        <f t="shared" si="156"/>
        <v>75.953212820902323</v>
      </c>
      <c r="AUE7" s="30">
        <f t="shared" si="156"/>
        <v>75.955368670783315</v>
      </c>
      <c r="AUF7" s="30">
        <f t="shared" si="156"/>
        <v>75.966140092909015</v>
      </c>
      <c r="AUG7" s="30">
        <f t="shared" si="156"/>
        <v>75.976898486925734</v>
      </c>
      <c r="AUH7" s="30">
        <f t="shared" si="156"/>
        <v>75.951061915917364</v>
      </c>
      <c r="AUI7" s="30">
        <f t="shared" si="156"/>
        <v>75.985466958438778</v>
      </c>
      <c r="AUJ7" s="30">
        <f t="shared" si="156"/>
        <v>75.944622741835005</v>
      </c>
      <c r="AUK7" s="30">
        <f t="shared" si="156"/>
        <v>75.974680533251814</v>
      </c>
      <c r="AUL7" s="30">
        <f t="shared" si="156"/>
        <v>75.916772639708029</v>
      </c>
      <c r="AUM7" s="30">
        <f t="shared" si="156"/>
        <v>75.903956344284992</v>
      </c>
      <c r="AUN7" s="30">
        <f t="shared" ref="AUN7:AWY7" si="157">((5/AUN$6)*100)</f>
        <v>75.876201133783098</v>
      </c>
      <c r="AUO7" s="30">
        <f t="shared" si="157"/>
        <v>75.904029377787424</v>
      </c>
      <c r="AUP7" s="30">
        <f t="shared" si="157"/>
        <v>75.863514058706997</v>
      </c>
      <c r="AUQ7" s="30">
        <f t="shared" si="157"/>
        <v>75.842270549041871</v>
      </c>
      <c r="AUR7" s="30">
        <f t="shared" si="157"/>
        <v>75.842352547814656</v>
      </c>
      <c r="AUS7" s="30">
        <f t="shared" si="157"/>
        <v>75.825420270243583</v>
      </c>
      <c r="AUT7" s="30">
        <f t="shared" si="157"/>
        <v>75.848893755376849</v>
      </c>
      <c r="AUU7" s="30">
        <f t="shared" si="157"/>
        <v>75.868095751140103</v>
      </c>
      <c r="AUV7" s="30">
        <f t="shared" si="157"/>
        <v>75.88727910781202</v>
      </c>
      <c r="AUW7" s="30">
        <f t="shared" si="157"/>
        <v>75.919193312661221</v>
      </c>
      <c r="AUX7" s="30">
        <f t="shared" si="157"/>
        <v>75.942586285496446</v>
      </c>
      <c r="AUY7" s="30">
        <f t="shared" si="157"/>
        <v>75.995717378306679</v>
      </c>
      <c r="AUZ7" s="30">
        <f t="shared" si="157"/>
        <v>75.989312066912646</v>
      </c>
      <c r="AVA7" s="30">
        <f t="shared" si="157"/>
        <v>76.021142821368215</v>
      </c>
      <c r="AVB7" s="30">
        <f t="shared" si="157"/>
        <v>76.012601224936645</v>
      </c>
      <c r="AVC7" s="30">
        <f t="shared" si="157"/>
        <v>75.963803303499603</v>
      </c>
      <c r="AVD7" s="30">
        <f t="shared" si="157"/>
        <v>75.881328505580981</v>
      </c>
      <c r="AVE7" s="30">
        <f t="shared" si="157"/>
        <v>75.898270498765157</v>
      </c>
      <c r="AVF7" s="30">
        <f t="shared" si="157"/>
        <v>75.864564245614446</v>
      </c>
      <c r="AVG7" s="30">
        <f t="shared" si="157"/>
        <v>75.900459492269263</v>
      </c>
      <c r="AVH7" s="30">
        <f t="shared" si="157"/>
        <v>75.879432632774297</v>
      </c>
      <c r="AVI7" s="30">
        <f t="shared" si="157"/>
        <v>75.883695589226917</v>
      </c>
      <c r="AVJ7" s="30">
        <f t="shared" si="157"/>
        <v>75.894263380480169</v>
      </c>
      <c r="AVK7" s="30">
        <f t="shared" si="157"/>
        <v>75.923748172565269</v>
      </c>
      <c r="AVL7" s="30">
        <f t="shared" si="157"/>
        <v>75.900651749097577</v>
      </c>
      <c r="AVM7" s="30">
        <f t="shared" si="157"/>
        <v>75.915389089608482</v>
      </c>
      <c r="AVN7" s="30">
        <f t="shared" si="157"/>
        <v>75.915416624138174</v>
      </c>
      <c r="AVO7" s="30">
        <f t="shared" si="157"/>
        <v>75.865144239847822</v>
      </c>
      <c r="AVP7" s="30">
        <f t="shared" si="157"/>
        <v>75.904994548641298</v>
      </c>
      <c r="AVQ7" s="30">
        <f t="shared" si="157"/>
        <v>75.91131087358913</v>
      </c>
      <c r="AVR7" s="30">
        <f t="shared" si="157"/>
        <v>75.898788827301431</v>
      </c>
      <c r="AVS7" s="30">
        <f t="shared" si="157"/>
        <v>75.859134981256517</v>
      </c>
      <c r="AVT7" s="30">
        <f t="shared" si="157"/>
        <v>75.900956462132569</v>
      </c>
      <c r="AVU7" s="30">
        <f t="shared" si="157"/>
        <v>75.892646002602334</v>
      </c>
      <c r="AVV7" s="30">
        <f t="shared" si="157"/>
        <v>75.923982775316802</v>
      </c>
      <c r="AVW7" s="30">
        <f t="shared" si="157"/>
        <v>75.957387356073951</v>
      </c>
      <c r="AVX7" s="30">
        <f t="shared" si="157"/>
        <v>75.94278603386357</v>
      </c>
      <c r="AVY7" s="30">
        <f t="shared" si="157"/>
        <v>75.957381323177586</v>
      </c>
      <c r="AVZ7" s="30">
        <f t="shared" si="157"/>
        <v>75.963627408554331</v>
      </c>
      <c r="AWA7" s="30">
        <f t="shared" si="157"/>
        <v>75.982359812546136</v>
      </c>
      <c r="AWB7" s="30">
        <f t="shared" si="157"/>
        <v>75.990664598902441</v>
      </c>
      <c r="AWC7" s="30">
        <f t="shared" si="157"/>
        <v>75.984397578396951</v>
      </c>
      <c r="AWD7" s="30">
        <f t="shared" si="157"/>
        <v>75.996847197751677</v>
      </c>
      <c r="AWE7" s="30">
        <f t="shared" si="157"/>
        <v>75.996815788092448</v>
      </c>
      <c r="AWF7" s="30">
        <f t="shared" si="157"/>
        <v>76.000936707447096</v>
      </c>
      <c r="AWG7" s="30">
        <f t="shared" si="157"/>
        <v>76.002977220073177</v>
      </c>
      <c r="AWH7" s="30">
        <f t="shared" si="157"/>
        <v>76.021606508453672</v>
      </c>
      <c r="AWI7" s="30">
        <f t="shared" si="157"/>
        <v>76.019484546449448</v>
      </c>
      <c r="AWJ7" s="30">
        <f t="shared" si="157"/>
        <v>76.038083360632555</v>
      </c>
      <c r="AWK7" s="30">
        <f t="shared" si="157"/>
        <v>76.006972605257673</v>
      </c>
      <c r="AWL7" s="30">
        <f t="shared" si="157"/>
        <v>76.031754169582484</v>
      </c>
      <c r="AWM7" s="30">
        <f t="shared" si="157"/>
        <v>76.042036995375682</v>
      </c>
      <c r="AWN7" s="30">
        <f t="shared" si="157"/>
        <v>76.025444123907022</v>
      </c>
      <c r="AWO7" s="30">
        <f t="shared" si="157"/>
        <v>76.027456772960278</v>
      </c>
      <c r="AWP7" s="30">
        <f t="shared" si="157"/>
        <v>76.037719484966843</v>
      </c>
      <c r="AWQ7" s="30">
        <f t="shared" si="157"/>
        <v>76.043845514487046</v>
      </c>
      <c r="AWR7" s="30">
        <f t="shared" si="157"/>
        <v>76.03553845788656</v>
      </c>
      <c r="AWS7" s="30">
        <f t="shared" si="157"/>
        <v>76.062254896968156</v>
      </c>
      <c r="AWT7" s="30">
        <f t="shared" si="157"/>
        <v>76.0580596370975</v>
      </c>
      <c r="AWU7" s="30">
        <f t="shared" si="157"/>
        <v>76.068272302340972</v>
      </c>
      <c r="AWV7" s="30">
        <f t="shared" si="157"/>
        <v>76.082587080495372</v>
      </c>
      <c r="AWW7" s="30">
        <f t="shared" si="157"/>
        <v>76.107170138659924</v>
      </c>
      <c r="AWX7" s="30">
        <f t="shared" si="157"/>
        <v>76.059814431326828</v>
      </c>
      <c r="AWY7" s="30">
        <f t="shared" si="157"/>
        <v>76.090522898390546</v>
      </c>
      <c r="AWZ7" s="30">
        <f t="shared" ref="AWZ7:AYS7" si="158">((5/AWZ$6)*100)</f>
        <v>76.090425408572159</v>
      </c>
      <c r="AXA7" s="30">
        <f t="shared" si="158"/>
        <v>76.084177982661444</v>
      </c>
      <c r="AXB7" s="30">
        <f t="shared" si="158"/>
        <v>76.090230843651639</v>
      </c>
      <c r="AXC7" s="30">
        <f t="shared" si="158"/>
        <v>76.049210185387977</v>
      </c>
      <c r="AXD7" s="30">
        <f t="shared" si="158"/>
        <v>76.06753937368731</v>
      </c>
      <c r="AXE7" s="30">
        <f t="shared" si="158"/>
        <v>76.016413532725394</v>
      </c>
      <c r="AXF7" s="30">
        <f t="shared" si="158"/>
        <v>76.071461434238557</v>
      </c>
      <c r="AXG7" s="30">
        <f t="shared" si="158"/>
        <v>76.07545912988131</v>
      </c>
      <c r="AXH7" s="30">
        <f t="shared" si="158"/>
        <v>76.099852015552045</v>
      </c>
      <c r="AXI7" s="30">
        <f t="shared" si="158"/>
        <v>76.089554190230317</v>
      </c>
      <c r="AXJ7" s="30">
        <f t="shared" si="158"/>
        <v>76.105758833329247</v>
      </c>
      <c r="AXK7" s="30">
        <f t="shared" si="158"/>
        <v>76.095469740224402</v>
      </c>
      <c r="AXL7" s="30">
        <f t="shared" si="158"/>
        <v>76.125901005942524</v>
      </c>
      <c r="AXM7" s="30">
        <f t="shared" si="158"/>
        <v>76.123744706619959</v>
      </c>
      <c r="AXN7" s="30">
        <f t="shared" si="158"/>
        <v>76.178562550618651</v>
      </c>
      <c r="AXO7" s="30">
        <f t="shared" si="158"/>
        <v>76.164163361768672</v>
      </c>
      <c r="AXP7" s="30">
        <f t="shared" si="158"/>
        <v>76.172146274861774</v>
      </c>
      <c r="AXQ7" s="30">
        <f t="shared" si="158"/>
        <v>76.149651769988807</v>
      </c>
      <c r="AXR7" s="30">
        <f t="shared" si="158"/>
        <v>76.198239985956917</v>
      </c>
      <c r="AXS7" s="30">
        <f t="shared" si="158"/>
        <v>76.202128543931863</v>
      </c>
      <c r="AXT7" s="30">
        <f t="shared" si="158"/>
        <v>76.220218587442815</v>
      </c>
      <c r="AXU7" s="30">
        <f t="shared" si="158"/>
        <v>76.228146157036804</v>
      </c>
      <c r="AXV7" s="30">
        <f t="shared" si="158"/>
        <v>76.225926198196561</v>
      </c>
      <c r="AXW7" s="30">
        <f t="shared" si="158"/>
        <v>76.23789284843906</v>
      </c>
      <c r="AXX7" s="30">
        <f t="shared" si="158"/>
        <v>76.259976904121288</v>
      </c>
      <c r="AXY7" s="30">
        <f t="shared" si="158"/>
        <v>76.245590658024938</v>
      </c>
      <c r="AXZ7" s="30">
        <f t="shared" si="158"/>
        <v>76.271691122261771</v>
      </c>
      <c r="AYA7" s="30">
        <f t="shared" si="158"/>
        <v>76.265401049938049</v>
      </c>
      <c r="AYB7" s="30">
        <f t="shared" si="158"/>
        <v>76.275289445906395</v>
      </c>
      <c r="AYC7" s="30">
        <f t="shared" si="158"/>
        <v>76.289208149806569</v>
      </c>
      <c r="AYD7" s="30">
        <f t="shared" si="158"/>
        <v>76.303112605708407</v>
      </c>
      <c r="AYE7" s="30">
        <f t="shared" si="158"/>
        <v>76.327101753024991</v>
      </c>
      <c r="AYF7" s="30">
        <f t="shared" si="158"/>
        <v>76.318767678795624</v>
      </c>
      <c r="AYG7" s="30">
        <f t="shared" si="158"/>
        <v>76.340704546459008</v>
      </c>
      <c r="AYH7" s="30">
        <f t="shared" si="158"/>
        <v>76.358588385990828</v>
      </c>
      <c r="AYI7" s="30">
        <f t="shared" si="158"/>
        <v>76.362338981611572</v>
      </c>
      <c r="AYJ7" s="30">
        <f t="shared" si="158"/>
        <v>76.376161727868407</v>
      </c>
      <c r="AYK7" s="30">
        <f t="shared" si="158"/>
        <v>76.400046684227419</v>
      </c>
      <c r="AYL7" s="30">
        <f t="shared" si="158"/>
        <v>76.385640258743308</v>
      </c>
      <c r="AYM7" s="30">
        <f t="shared" si="158"/>
        <v>76.40345238220695</v>
      </c>
      <c r="AYN7" s="30">
        <f t="shared" si="158"/>
        <v>76.399117413807204</v>
      </c>
      <c r="AYO7" s="30">
        <f t="shared" si="158"/>
        <v>76.426957619672933</v>
      </c>
      <c r="AYP7" s="30">
        <f t="shared" si="158"/>
        <v>76.412562204190564</v>
      </c>
      <c r="AYQ7" s="30">
        <f t="shared" si="158"/>
        <v>76.446393097237703</v>
      </c>
      <c r="AYR7" s="30">
        <f t="shared" si="158"/>
        <v>76.450068647432772</v>
      </c>
      <c r="AYS7" s="30">
        <f t="shared" si="158"/>
        <v>76.473817486830839</v>
      </c>
      <c r="AYT7" s="93"/>
      <c r="AYU7" s="94"/>
      <c r="AYV7" s="94"/>
      <c r="AYW7" s="18" t="s">
        <v>19</v>
      </c>
      <c r="AYX7" s="25" t="s">
        <v>18</v>
      </c>
    </row>
    <row r="8" spans="1:1350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89">
        <f>((SUM($NZ$4:ATP$4)-((ATP$1-500)*0.167))/(ATP$1-500))</f>
        <v>6.5416877278250309</v>
      </c>
      <c r="ATQ8" s="30">
        <f>((SUM($NZ$4:ATQ$4)-((ATQ$1-500)*0.167))/(ATQ$1-500))</f>
        <v>6.5453786407766987</v>
      </c>
      <c r="ATR8" s="17">
        <f>((SUM($NZ$4:ATR$4)-((ATR$1-500)*0.167))/(ATR$1-500))</f>
        <v>6.5469393939393941</v>
      </c>
      <c r="ATS8" s="23">
        <f>((SUM($NZ$4:ATS$4)-((ATS$1-500)*0.167))/(ATS$1-500))</f>
        <v>6.5472857142857146</v>
      </c>
      <c r="ATT8" s="54">
        <f>((SUM($NZ$4:ATT$4)-((ATT$1-500)*0.167))/(ATT$1-500))</f>
        <v>6.5518633615477624</v>
      </c>
      <c r="ATU8" s="59">
        <f>((SUM($NZ$4:ATU$4)-((ATU$1-500)*0.167))/(ATU$1-500))</f>
        <v>6.5552222222222225</v>
      </c>
      <c r="ATV8" s="64">
        <f>((SUM($NZ$4:ATV$4)-((ATV$1-500)*0.167))/(ATV$1-500))</f>
        <v>6.5471133896260554</v>
      </c>
      <c r="ATW8" s="69">
        <f>((SUM($NZ$4:ATW$4)-((ATW$1-500)*0.167))/(ATW$1-500))</f>
        <v>6.5528795180722899</v>
      </c>
      <c r="ATX8" s="73">
        <f>((SUM($NZ$4:ATX$4)-((ATX$1-500)*0.167))/(ATX$1-500))</f>
        <v>6.5517123947051745</v>
      </c>
      <c r="ATY8" s="77">
        <f>((SUM($NZ$4:ATY$4)-((ATY$1-500)*0.167))/(ATY$1-500))</f>
        <v>6.5520504807692301</v>
      </c>
      <c r="ATZ8" s="81">
        <f>((SUM($NZ$4:ATZ$4)-((ATZ$1-500)*0.167))/(ATZ$1-500))</f>
        <v>6.5505870348139261</v>
      </c>
      <c r="AUA8" s="85">
        <f>((SUM($NZ$4:AUA$4)-((AUA$1-500)*0.167))/(AUA$1-500))</f>
        <v>6.5518249400479611</v>
      </c>
      <c r="AUB8" s="41">
        <f>((SUM($NZ$4:AUB$4)-((AUB$1-500)*0.167))/(AUB$1-500))</f>
        <v>6.5485688622754497</v>
      </c>
      <c r="AUC8" s="13">
        <f>((SUM($NZ$4:AUC$4)-((AUC$1-500)*0.167))/(AUC$1-500))</f>
        <v>6.5474138755980862</v>
      </c>
      <c r="AUD8" s="13">
        <f>((SUM($NZ$4:AUD$4)-((AUD$1-500)*0.167))/(AUD$1-500))</f>
        <v>6.5498458781362006</v>
      </c>
      <c r="AUE8" s="13">
        <f>((SUM($NZ$4:AUE$4)-((AUE$1-500)*0.167))/(AUE$1-500))</f>
        <v>6.5495871121718379</v>
      </c>
      <c r="AUF8" s="13">
        <f>((SUM($NZ$4:AUF$4)-((AUF$1-500)*0.167))/(AUF$1-500))</f>
        <v>6.5481370679380211</v>
      </c>
      <c r="AUG8" s="13">
        <f>((SUM($NZ$4:AUG$4)-((AUG$1-500)*0.167))/(AUG$1-500))</f>
        <v>6.5466904761904763</v>
      </c>
      <c r="AUH8" s="13">
        <f>((SUM($NZ$4:AUH$4)-((AUH$1-500)*0.167))/(AUH$1-500))</f>
        <v>6.5503008323424492</v>
      </c>
      <c r="AUI8" s="13">
        <f>((SUM($NZ$4:AUI$4)-((AUI$1-500)*0.167))/(AUI$1-500))</f>
        <v>6.5455890736342051</v>
      </c>
      <c r="AUJ8" s="13">
        <f>((SUM($NZ$4:AUJ$4)-((AUJ$1-500)*0.167))/(AUJ$1-500))</f>
        <v>6.5512680901542115</v>
      </c>
      <c r="AUK8" s="13">
        <f>((SUM($NZ$4:AUK$4)-((AUK$1-500)*0.167))/(AUK$1-500))</f>
        <v>6.5471587677725118</v>
      </c>
      <c r="AUL8" s="13">
        <f>((SUM($NZ$4:AUL$4)-((AUL$1-500)*0.167))/(AUL$1-500))</f>
        <v>6.5551893491124265</v>
      </c>
      <c r="AUM8" s="13">
        <f>((SUM($NZ$4:AUM$4)-((AUM$1-500)*0.167))/(AUM$1-500))</f>
        <v>6.5569952718676126</v>
      </c>
      <c r="AUN8" s="13">
        <f>((SUM($NZ$4:AUN$4)-((AUN$1-500)*0.167))/(AUN$1-500))</f>
        <v>6.5608630460448643</v>
      </c>
      <c r="AUO8" s="13">
        <f>((SUM($NZ$4:AUO$4)-((AUO$1-500)*0.167))/(AUO$1-500))</f>
        <v>6.5570566037735851</v>
      </c>
      <c r="AUP8" s="13">
        <f>((SUM($NZ$4:AUP$4)-((AUP$1-500)*0.167))/(AUP$1-500))</f>
        <v>6.5626819787985857</v>
      </c>
      <c r="AUQ8" s="13">
        <f>((SUM($NZ$4:AUQ$4)-((AUQ$1-500)*0.167))/(AUQ$1-500))</f>
        <v>6.5656470588235294</v>
      </c>
      <c r="AUR8" s="13">
        <f>((SUM($NZ$4:AUR$4)-((AUR$1-500)*0.167))/(AUR$1-500))</f>
        <v>6.5656674500587542</v>
      </c>
      <c r="AUS8" s="13">
        <f>((SUM($NZ$4:AUS$4)-((AUS$1-500)*0.167))/(AUS$1-500))</f>
        <v>6.5680352112676061</v>
      </c>
      <c r="AUT8" s="13">
        <f>((SUM($NZ$4:AUT$4)-((AUT$1-500)*0.167))/(AUT$1-500))</f>
        <v>6.5648288393903869</v>
      </c>
      <c r="AUU8" s="13">
        <f>((SUM($NZ$4:AUU$4)-((AUU$1-500)*0.167))/(AUU$1-500))</f>
        <v>6.5622154566744726</v>
      </c>
      <c r="AUV8" s="13">
        <f>((SUM($NZ$4:AUV$4)-((AUV$1-500)*0.167))/(AUV$1-500))</f>
        <v>6.5596081871345033</v>
      </c>
      <c r="AUW8" s="13">
        <f>((SUM($NZ$4:AUW$4)-((AUW$1-500)*0.167))/(AUW$1-500))</f>
        <v>6.5552546728971963</v>
      </c>
      <c r="AUX8" s="13">
        <f>((SUM($NZ$4:AUX$4)-((AUX$1-500)*0.167))/(AUX$1-500))</f>
        <v>6.5520781796966165</v>
      </c>
      <c r="AUY8" s="13">
        <f>((SUM($NZ$4:AUY$4)-((AUY$1-500)*0.167))/(AUY$1-500))</f>
        <v>6.5448298368298365</v>
      </c>
      <c r="AUZ8" s="13">
        <f>((SUM($NZ$4:AUZ$4)-((AUZ$1-500)*0.167))/(AUZ$1-500))</f>
        <v>6.5457473806752029</v>
      </c>
      <c r="AVA8" s="13">
        <f>((SUM($NZ$4:AVA$4)-((AVA$1-500)*0.167))/(AVA$1-500))</f>
        <v>6.5414302325581399</v>
      </c>
      <c r="AVB8" s="13">
        <f>((SUM($NZ$4:AVB$4)-((AVB$1-500)*0.167))/(AVB$1-500))</f>
        <v>6.542639953542392</v>
      </c>
      <c r="AVC8" s="13">
        <f>((SUM($NZ$4:AVC$4)-((AVC$1-500)*0.167))/(AVC$1-500))</f>
        <v>6.5493573085846872</v>
      </c>
      <c r="AVD8" s="13">
        <f>((SUM($NZ$4:AVD$4)-((AVD$1-500)*0.167))/(AVD$1-500))</f>
        <v>6.5606940903823867</v>
      </c>
      <c r="AVE8" s="13">
        <f>((SUM($NZ$4:AVE$4)-((AVE$1-500)*0.167))/(AVE$1-500))</f>
        <v>6.5584050925925919</v>
      </c>
      <c r="AVF8" s="13">
        <f>((SUM($NZ$4:AVF$4)-((AVF$1-500)*0.167))/(AVF$1-500))</f>
        <v>6.5630578034682081</v>
      </c>
      <c r="AVG8" s="13">
        <f>((SUM($NZ$4:AVG$4)-((AVG$1-500)*0.167))/(AVG$1-500))</f>
        <v>6.5581732101616623</v>
      </c>
      <c r="AVH8" s="13">
        <f>((SUM($NZ$4:AVH$4)-((AVH$1-500)*0.167))/(AVH$1-500))</f>
        <v>6.5610853517877743</v>
      </c>
      <c r="AVI8" s="13">
        <f>((SUM($NZ$4:AVI$4)-((AVI$1-500)*0.167))/(AVI$1-500))</f>
        <v>6.5605345622119815</v>
      </c>
      <c r="AVJ8" s="13">
        <f>((SUM($NZ$4:AVJ$4)-((AVJ$1-500)*0.167))/(AVJ$1-500))</f>
        <v>6.5591219792865365</v>
      </c>
      <c r="AVK8" s="13">
        <f>((SUM($NZ$4:AVK$4)-((AVK$1-500)*0.167))/(AVK$1-500))</f>
        <v>6.5551264367816096</v>
      </c>
      <c r="AVL8" s="13">
        <f>((SUM($NZ$4:AVL$4)-((AVL$1-500)*0.167))/(AVL$1-500))</f>
        <v>6.5583157290470719</v>
      </c>
      <c r="AVM8" s="13">
        <f>((SUM($NZ$4:AVM$4)-((AVM$1-500)*0.167))/(AVM$1-500))</f>
        <v>6.5563371559633028</v>
      </c>
      <c r="AVN8" s="13">
        <f>((SUM($NZ$4:AVN$4)-((AVN$1-500)*0.167))/(AVN$1-500))</f>
        <v>6.5563676975945011</v>
      </c>
      <c r="AVO8" s="13">
        <f>((SUM($NZ$4:AVO$4)-((AVO$1-500)*0.167))/(AVO$1-500))</f>
        <v>6.5632631578947374</v>
      </c>
      <c r="AVP8" s="13">
        <f>((SUM($NZ$4:AVP$4)-((AVP$1-500)*0.167))/(AVP$1-500))</f>
        <v>6.5578571428571433</v>
      </c>
      <c r="AVQ8" s="13">
        <f>((SUM($NZ$4:AVQ$4)-((AVQ$1-500)*0.167))/(AVQ$1-500))</f>
        <v>6.5570296803652965</v>
      </c>
      <c r="AVR8" s="13">
        <f>((SUM($NZ$4:AVR$4)-((AVR$1-500)*0.167))/(AVR$1-500))</f>
        <v>6.5587696693272521</v>
      </c>
      <c r="AVS8" s="13">
        <f>((SUM($NZ$4:AVS$4)-((AVS$1-500)*0.167))/(AVS$1-500))</f>
        <v>6.564207289293849</v>
      </c>
      <c r="AVT8" s="13">
        <f>((SUM($NZ$4:AVT$4)-((AVT$1-500)*0.167))/(AVT$1-500))</f>
        <v>6.5585403868031857</v>
      </c>
      <c r="AVU8" s="13">
        <f>((SUM($NZ$4:AVU$4)-((AVU$1-500)*0.167))/(AVU$1-500))</f>
        <v>6.5597045454545455</v>
      </c>
      <c r="AVV8" s="13">
        <f>((SUM($NZ$4:AVV$4)-((AVV$1-500)*0.167))/(AVV$1-500))</f>
        <v>6.555474460839954</v>
      </c>
      <c r="AVW8" s="13">
        <f>((SUM($NZ$4:AVW$4)-((AVW$1-500)*0.167))/(AVW$1-500))</f>
        <v>6.5509705215419505</v>
      </c>
      <c r="AVX8" s="13">
        <f>((SUM($NZ$4:AVX$4)-((AVX$1-500)*0.167))/(AVX$1-500))</f>
        <v>6.5529886749716875</v>
      </c>
      <c r="AVY8" s="13">
        <f>((SUM($NZ$4:AVY$4)-((AVY$1-500)*0.167))/(AVY$1-500))</f>
        <v>6.5510429864253394</v>
      </c>
      <c r="AVZ8" s="13">
        <f>((SUM($NZ$4:AVZ$4)-((AVZ$1-500)*0.167))/(AVZ$1-500))</f>
        <v>6.5502316384180794</v>
      </c>
      <c r="AWA8" s="13">
        <f>((SUM($NZ$4:AWA$4)-((AWA$1-500)*0.167))/(AWA$1-500))</f>
        <v>6.5477291196388254</v>
      </c>
      <c r="AWB8" s="13">
        <f>((SUM($NZ$4:AWB$4)-((AWB$1-500)*0.167))/(AWB$1-500))</f>
        <v>6.5466414881623454</v>
      </c>
      <c r="AWC8" s="13">
        <f>((SUM($NZ$4:AWC$4)-((AWC$1-500)*0.167))/(AWC$1-500))</f>
        <v>6.5475270270270265</v>
      </c>
      <c r="AWD8" s="13">
        <f>((SUM($NZ$4:AWD$4)-((AWD$1-500)*0.167))/(AWD$1-500))</f>
        <v>6.545879640044995</v>
      </c>
      <c r="AWE8" s="13">
        <f>((SUM($NZ$4:AWE$4)-((AWE$1-500)*0.167))/(AWE$1-500))</f>
        <v>6.5459213483146064</v>
      </c>
      <c r="AWF8" s="13">
        <f>((SUM($NZ$4:AWF$4)-((AWF$1-500)*0.167))/(AWF$1-500))</f>
        <v>6.5454017957351294</v>
      </c>
      <c r="AWG8" s="13">
        <f>((SUM($NZ$4:AWG$4)-((AWG$1-500)*0.167))/(AWG$1-500))</f>
        <v>6.545163677130045</v>
      </c>
      <c r="AWH8" s="13">
        <f>((SUM($NZ$4:AWH$4)-((AWH$1-500)*0.167))/(AWH$1-500))</f>
        <v>6.5426864501679729</v>
      </c>
      <c r="AWI8" s="13">
        <f>((SUM($NZ$4:AWI$4)-((AWI$1-500)*0.167))/(AWI$1-500))</f>
        <v>6.5430111856823272</v>
      </c>
      <c r="AWJ8" s="13">
        <f>((SUM($NZ$4:AWJ$4)-((AWJ$1-500)*0.167))/(AWJ$1-500))</f>
        <v>6.5405418994413402</v>
      </c>
      <c r="AWK8" s="13">
        <f>((SUM($NZ$4:AWK$4)-((AWK$1-500)*0.167))/(AWK$1-500))</f>
        <v>6.544774553571429</v>
      </c>
      <c r="AWL8" s="13">
        <f>((SUM($NZ$4:AWL$4)-((AWL$1-500)*0.167))/(AWL$1-500))</f>
        <v>6.541472686733556</v>
      </c>
      <c r="AWM8" s="13">
        <f>((SUM($NZ$4:AWM$4)-((AWM$1-500)*0.167))/(AWM$1-500))</f>
        <v>6.5401269487750548</v>
      </c>
      <c r="AWN8" s="13">
        <f>((SUM($NZ$4:AWN$4)-((AWN$1-500)*0.167))/(AWN$1-500))</f>
        <v>6.5423993325917689</v>
      </c>
      <c r="AWO8" s="13">
        <f>((SUM($NZ$4:AWO$4)-((AWO$1-500)*0.167))/(AWO$1-500))</f>
        <v>6.5421666666666667</v>
      </c>
      <c r="AWP8" s="13">
        <f>((SUM($NZ$4:AWP$4)-((AWP$1-500)*0.167))/(AWP$1-500))</f>
        <v>6.5408246392896787</v>
      </c>
      <c r="AWQ8" s="13">
        <f>((SUM($NZ$4:AWQ$4)-((AWQ$1-500)*0.167))/(AWQ$1-500))</f>
        <v>6.5400399113082042</v>
      </c>
      <c r="AWR8" s="13">
        <f>((SUM($NZ$4:AWR$4)-((AWR$1-500)*0.167))/(AWR$1-500))</f>
        <v>6.5411949058693244</v>
      </c>
      <c r="AWS8" s="13">
        <f>((SUM($NZ$4:AWS$4)-((AWS$1-500)*0.167))/(AWS$1-500))</f>
        <v>6.5376460176991156</v>
      </c>
      <c r="AWT8" s="13">
        <f>((SUM($NZ$4:AWT$4)-((AWT$1-500)*0.167))/(AWT$1-500))</f>
        <v>6.5382486187845306</v>
      </c>
      <c r="AWU8" s="13">
        <f>((SUM($NZ$4:AWU$4)-((AWU$1-500)*0.167))/(AWU$1-500))</f>
        <v>6.536918322295806</v>
      </c>
      <c r="AWV8" s="13">
        <f>((SUM($NZ$4:AWV$4)-((AWV$1-500)*0.167))/(AWV$1-500))</f>
        <v>6.5350396912899669</v>
      </c>
      <c r="AWW8" s="13">
        <f>((SUM($NZ$4:AWW$4)-((AWW$1-500)*0.167))/(AWW$1-500))</f>
        <v>6.5317885462555063</v>
      </c>
      <c r="AWX8" s="13">
        <f>((SUM($NZ$4:AWX$4)-((AWX$1-500)*0.167))/(AWX$1-500))</f>
        <v>6.5381705170517055</v>
      </c>
      <c r="AWY8" s="13">
        <f>((SUM($NZ$4:AWY$4)-((AWY$1-500)*0.167))/(AWY$1-500))</f>
        <v>6.5340989010989006</v>
      </c>
      <c r="AWZ8" s="13">
        <f>((SUM($NZ$4:AWZ$4)-((AWZ$1-500)*0.167))/(AWZ$1-500))</f>
        <v>6.5341525795828765</v>
      </c>
      <c r="AXA8" s="13">
        <f>((SUM($NZ$4:AXA$4)-((AXA$1-500)*0.167))/(AXA$1-500))</f>
        <v>6.53502850877193</v>
      </c>
      <c r="AXB8" s="13">
        <f>((SUM($NZ$4:AXB$4)-((AXB$1-500)*0.167))/(AXB$1-500))</f>
        <v>6.5342595837897051</v>
      </c>
      <c r="AXC8" s="13">
        <f>((SUM($NZ$4:AXC$4)-((AXC$1-500)*0.167))/(AXC$1-500))</f>
        <v>6.5397833698030636</v>
      </c>
      <c r="AXD8" s="13">
        <f>((SUM($NZ$4:AXD$4)-((AXD$1-500)*0.167))/(AXD$1-500))</f>
        <v>6.5373715846994536</v>
      </c>
      <c r="AXE8" s="13">
        <f>((SUM($NZ$4:AXE$4)-((AXE$1-500)*0.167))/(AXE$1-500))</f>
        <v>6.5442445414847166</v>
      </c>
      <c r="AXF8" s="13">
        <f>((SUM($NZ$4:AXF$4)-((AXF$1-500)*0.167))/(AXF$1-500))</f>
        <v>6.536925845147219</v>
      </c>
      <c r="AXG8" s="13">
        <f>((SUM($NZ$4:AXG$4)-((AXG$1-500)*0.167))/(AXG$1-500))</f>
        <v>6.5364313725490204</v>
      </c>
      <c r="AXH8" s="13">
        <f>((SUM($NZ$4:AXH$4)-((AXH$1-500)*0.167))/(AXH$1-500))</f>
        <v>6.5332176278563656</v>
      </c>
      <c r="AXI8" s="13">
        <f>((SUM($NZ$4:AXI$4)-((AXI$1-500)*0.167))/(AXI$1-500))</f>
        <v>6.5346304347826081</v>
      </c>
      <c r="AXJ8" s="13">
        <f>((SUM($NZ$4:AXJ$4)-((AXJ$1-500)*0.167))/(AXJ$1-500))</f>
        <v>6.5325114006514662</v>
      </c>
      <c r="AXK8" s="13">
        <f>((SUM($NZ$4:AXK$4)-((AXK$1-500)*0.167))/(AXK$1-500))</f>
        <v>6.5339219088937091</v>
      </c>
      <c r="AXL8" s="13">
        <f>((SUM($NZ$4:AXL$4)-((AXL$1-500)*0.167))/(AXL$1-500))</f>
        <v>6.5299122426868914</v>
      </c>
      <c r="AXM8" s="13">
        <f>((SUM($NZ$4:AXM$4)-((AXM$1-500)*0.167))/(AXM$1-500))</f>
        <v>6.5302402597402596</v>
      </c>
      <c r="AXN8" s="13">
        <f>((SUM($NZ$4:AXN$4)-((AXN$1-500)*0.167))/(AXN$1-500))</f>
        <v>6.5229999999999997</v>
      </c>
      <c r="AXO8" s="13">
        <f>((SUM($NZ$4:AXO$4)-((AXO$1-500)*0.167))/(AXO$1-500))</f>
        <v>6.5249546436285097</v>
      </c>
      <c r="AXP8" s="13">
        <f>((SUM($NZ$4:AXP$4)-((AXP$1-500)*0.167))/(AXP$1-500))</f>
        <v>6.5239385113268602</v>
      </c>
      <c r="AXQ8" s="13">
        <f>((SUM($NZ$4:AXQ$4)-((AXQ$1-500)*0.167))/(AXQ$1-500))</f>
        <v>6.5269655172413801</v>
      </c>
      <c r="AXR8" s="13">
        <f>((SUM($NZ$4:AXR$4)-((AXR$1-500)*0.167))/(AXR$1-500))</f>
        <v>6.5205672766415503</v>
      </c>
      <c r="AXS8" s="13">
        <f>((SUM($NZ$4:AXS$4)-((AXS$1-500)*0.167))/(AXS$1-500))</f>
        <v>6.5200967741935481</v>
      </c>
      <c r="AXT8" s="13">
        <f>((SUM($NZ$4:AXT$4)-((AXT$1-500)*0.167))/(AXT$1-500))</f>
        <v>6.5177475832438239</v>
      </c>
      <c r="AXU8" s="13">
        <f>((SUM($NZ$4:AXU$4)-((AXU$1-500)*0.167))/(AXU$1-500))</f>
        <v>6.5167446351931329</v>
      </c>
      <c r="AXV8" s="13">
        <f>((SUM($NZ$4:AXV$4)-((AXV$1-500)*0.167))/(AXV$1-500))</f>
        <v>6.5170836012861741</v>
      </c>
      <c r="AXW8" s="13">
        <f>((SUM($NZ$4:AXW$4)-((AXW$1-500)*0.167))/(AXW$1-500))</f>
        <v>6.5155481798715202</v>
      </c>
      <c r="AXX8" s="13">
        <f>((SUM($NZ$4:AXX$4)-((AXX$1-500)*0.167))/(AXX$1-500))</f>
        <v>6.512679144385026</v>
      </c>
      <c r="AXY8" s="13">
        <f>((SUM($NZ$4:AXY$4)-((AXY$1-500)*0.167))/(AXY$1-500))</f>
        <v>6.5146239316239321</v>
      </c>
      <c r="AXZ8" s="13">
        <f>((SUM($NZ$4:AXZ$4)-((AXZ$1-500)*0.167))/(AXZ$1-500))</f>
        <v>6.5112283884738522</v>
      </c>
      <c r="AYA8" s="13">
        <f>((SUM($NZ$4:AYA$4)-((AYA$1-500)*0.167))/(AYA$1-500))</f>
        <v>6.512104477611941</v>
      </c>
      <c r="AYB8" s="13">
        <f>((SUM($NZ$4:AYB$4)-((AYB$1-500)*0.167))/(AYB$1-500))</f>
        <v>6.5108487752928648</v>
      </c>
      <c r="AYC8" s="13">
        <f>((SUM($NZ$4:AYC$4)-((AYC$1-500)*0.167))/(AYC$1-500))</f>
        <v>6.5090638297872347</v>
      </c>
      <c r="AYD8" s="13">
        <f>((SUM($NZ$4:AYD$4)-((AYD$1-500)*0.167))/(AYD$1-500))</f>
        <v>6.5072826780021256</v>
      </c>
      <c r="AYE8" s="13">
        <f>((SUM($NZ$4:AYE$4)-((AYE$1-500)*0.167))/(AYE$1-500))</f>
        <v>6.5041783439490439</v>
      </c>
      <c r="AYF8" s="13">
        <f>((SUM($NZ$4:AYF$4)-((AYF$1-500)*0.167))/(AYF$1-500))</f>
        <v>6.5053223753976672</v>
      </c>
      <c r="AYG8" s="13">
        <f>((SUM($NZ$4:AYG$4)-((AYG$1-500)*0.167))/(AYG$1-500))</f>
        <v>6.5024915254237285</v>
      </c>
      <c r="AYH8" s="13">
        <f>((SUM($NZ$4:AYH$4)-((AYH$1-500)*0.167))/(AYH$1-500))</f>
        <v>6.500195767195768</v>
      </c>
      <c r="AYI8" s="13">
        <f>((SUM($NZ$4:AYI$4)-((AYI$1-500)*0.167))/(AYI$1-500))</f>
        <v>6.4997547568710363</v>
      </c>
      <c r="AYJ8" s="13">
        <f>((SUM($NZ$4:AYJ$4)-((AYJ$1-500)*0.167))/(AYJ$1-500))</f>
        <v>6.4979947201689541</v>
      </c>
      <c r="AYK8" s="13">
        <f>((SUM($NZ$4:AYK$4)-((AYK$1-500)*0.167))/(AYK$1-500))</f>
        <v>6.4949198312236289</v>
      </c>
      <c r="AYL8" s="13">
        <f>((SUM($NZ$4:AYL$4)-((AYL$1-500)*0.167))/(AYL$1-500))</f>
        <v>6.4968566912539512</v>
      </c>
      <c r="AYM8" s="13">
        <f>((SUM($NZ$4:AYM$4)-((AYM$1-500)*0.167))/(AYM$1-500))</f>
        <v>6.4945789473684217</v>
      </c>
      <c r="AYN8" s="13">
        <f>((SUM($NZ$4:AYN$4)-((AYN$1-500)*0.167))/(AYN$1-500))</f>
        <v>6.4951976866456365</v>
      </c>
      <c r="AYO8" s="13">
        <f>((SUM($NZ$4:AYO$4)-((AYO$1-500)*0.167))/(AYO$1-500))</f>
        <v>6.4916134453781504</v>
      </c>
      <c r="AYP8" s="13">
        <f>((SUM($NZ$4:AYP$4)-((AYP$1-500)*0.167))/(AYP$1-500))</f>
        <v>6.4935456453305349</v>
      </c>
      <c r="AYQ8" s="13">
        <f>((SUM($NZ$4:AYQ$4)-((AYQ$1-500)*0.167))/(AYQ$1-500))</f>
        <v>6.4891844863731656</v>
      </c>
      <c r="AYR8" s="13">
        <f>((SUM($NZ$4:AYR$4)-((AYR$1-500)*0.167))/(AYR$1-500))</f>
        <v>6.4887591623036656</v>
      </c>
      <c r="AYS8" s="13">
        <f>((SUM($NZ$4:AYS$4)-((AYS$1-500)*0.167))/(AYS$1-500))</f>
        <v>6.4857196652719669</v>
      </c>
      <c r="AYT8" s="93"/>
      <c r="AYU8" s="94"/>
      <c r="AYV8" s="94"/>
    </row>
    <row r="9" spans="1:1350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59">((5/OA$8)*100)</f>
        <v>98.367106039740307</v>
      </c>
      <c r="OB9" s="17">
        <f t="shared" si="159"/>
        <v>81.085464079139413</v>
      </c>
      <c r="OC9" s="17">
        <f t="shared" si="159"/>
        <v>65.936964262165361</v>
      </c>
      <c r="OD9" s="17">
        <f t="shared" si="159"/>
        <v>82.8775070445881</v>
      </c>
      <c r="OE9" s="17">
        <f t="shared" si="159"/>
        <v>100.00666711114073</v>
      </c>
      <c r="OF9" s="17">
        <f t="shared" si="159"/>
        <v>94.387961489711699</v>
      </c>
      <c r="OG9" s="17">
        <f t="shared" si="159"/>
        <v>96.585695658472986</v>
      </c>
      <c r="OH9" s="17">
        <f t="shared" si="159"/>
        <v>90.914600884902114</v>
      </c>
      <c r="OI9" s="17">
        <f t="shared" si="159"/>
        <v>83.920778784827121</v>
      </c>
      <c r="OJ9" s="17">
        <f t="shared" si="159"/>
        <v>69.697008097525128</v>
      </c>
      <c r="OK9" s="17">
        <f t="shared" si="159"/>
        <v>76.19434637949864</v>
      </c>
      <c r="OL9" s="17">
        <f t="shared" si="159"/>
        <v>74.21870539741262</v>
      </c>
      <c r="OM9" s="17">
        <f t="shared" si="159"/>
        <v>80.080538141216309</v>
      </c>
      <c r="ON9" s="17">
        <f t="shared" si="159"/>
        <v>81.748324159354738</v>
      </c>
      <c r="OO9" s="17">
        <f t="shared" si="159"/>
        <v>83.920778784827121</v>
      </c>
      <c r="OP9" s="17">
        <f t="shared" si="159"/>
        <v>83.611217674427763</v>
      </c>
      <c r="OQ9" s="17">
        <f t="shared" si="159"/>
        <v>86.752004935225173</v>
      </c>
      <c r="OR9" s="17">
        <f t="shared" si="159"/>
        <v>78.787828524511312</v>
      </c>
      <c r="OS9" s="17">
        <f t="shared" si="159"/>
        <v>80.379390724218311</v>
      </c>
      <c r="OT9" s="17">
        <f t="shared" si="159"/>
        <v>84.511803481886304</v>
      </c>
      <c r="OU9" s="17">
        <f t="shared" si="159"/>
        <v>80.247453967142306</v>
      </c>
      <c r="OV9" s="17">
        <f t="shared" si="159"/>
        <v>79.911610809608845</v>
      </c>
      <c r="OW9" s="17">
        <f t="shared" si="159"/>
        <v>82.337280948525489</v>
      </c>
      <c r="OX9" s="17">
        <f t="shared" si="159"/>
        <v>81.65931732810715</v>
      </c>
      <c r="OY9" s="17">
        <f t="shared" si="159"/>
        <v>82.456963807735733</v>
      </c>
      <c r="OZ9" s="17">
        <f t="shared" si="159"/>
        <v>77.478894175308923</v>
      </c>
      <c r="PA9" s="17">
        <f t="shared" si="159"/>
        <v>75.543372687833198</v>
      </c>
      <c r="PB9" s="17">
        <f t="shared" si="159"/>
        <v>74.299154014460143</v>
      </c>
      <c r="PC9" s="17">
        <f t="shared" si="159"/>
        <v>75.097626914989476</v>
      </c>
      <c r="PD9" s="17">
        <f t="shared" si="159"/>
        <v>75.034007348491798</v>
      </c>
      <c r="PE9" s="17">
        <f t="shared" si="159"/>
        <v>75.773361874632968</v>
      </c>
      <c r="PF9" s="17">
        <f t="shared" si="159"/>
        <v>76.658969796365895</v>
      </c>
      <c r="PG9" s="17">
        <f t="shared" si="159"/>
        <v>76.379778229067455</v>
      </c>
      <c r="PH9" s="17">
        <f t="shared" si="159"/>
        <v>76.450929424870566</v>
      </c>
      <c r="PI9" s="17">
        <f t="shared" si="159"/>
        <v>76.113798585974763</v>
      </c>
      <c r="PJ9" s="17">
        <f t="shared" si="159"/>
        <v>75.411399757868253</v>
      </c>
      <c r="PK9" s="17">
        <f t="shared" si="159"/>
        <v>77.502304673796871</v>
      </c>
      <c r="PL9" s="17">
        <f t="shared" si="159"/>
        <v>75.512029647184548</v>
      </c>
      <c r="PM9" s="17">
        <f t="shared" si="159"/>
        <v>77.050506607080933</v>
      </c>
      <c r="PN9" s="17">
        <f t="shared" si="159"/>
        <v>77.459919214972047</v>
      </c>
      <c r="PO9" s="17">
        <f t="shared" si="159"/>
        <v>78.216368823700293</v>
      </c>
      <c r="PP9" s="17">
        <f t="shared" si="159"/>
        <v>76.154987797491486</v>
      </c>
      <c r="PQ9" s="17">
        <f t="shared" si="159"/>
        <v>76.614475956984464</v>
      </c>
      <c r="PR9" s="17">
        <f t="shared" si="159"/>
        <v>75.38067239559777</v>
      </c>
      <c r="PS9" s="17">
        <f t="shared" si="159"/>
        <v>77.098934693850197</v>
      </c>
      <c r="PT9" s="17">
        <f t="shared" si="159"/>
        <v>75.465396707139661</v>
      </c>
      <c r="PU9" s="17">
        <f t="shared" si="159"/>
        <v>76.803932361336905</v>
      </c>
      <c r="PV9" s="17">
        <f t="shared" si="159"/>
        <v>75.253327272112955</v>
      </c>
      <c r="PW9" s="17">
        <f t="shared" si="159"/>
        <v>76.828518746158579</v>
      </c>
      <c r="PX9" s="17">
        <f t="shared" si="159"/>
        <v>75.615375719458058</v>
      </c>
      <c r="PY9" s="17">
        <f t="shared" si="159"/>
        <v>76.737816395919921</v>
      </c>
      <c r="PZ9" s="17">
        <f t="shared" si="159"/>
        <v>75.145541317287154</v>
      </c>
      <c r="QA9" s="17">
        <f t="shared" si="159"/>
        <v>76.599656152654603</v>
      </c>
      <c r="QB9" s="17">
        <f t="shared" si="159"/>
        <v>75.900804548528228</v>
      </c>
      <c r="QC9" s="17">
        <f t="shared" si="159"/>
        <v>76.36752416486658</v>
      </c>
      <c r="QD9" s="17">
        <f t="shared" si="159"/>
        <v>75.350777699342459</v>
      </c>
      <c r="QE9" s="17">
        <f t="shared" si="159"/>
        <v>75.508248625229129</v>
      </c>
      <c r="QF9" s="17">
        <f t="shared" si="159"/>
        <v>76.843528342237633</v>
      </c>
      <c r="QG9" s="17">
        <f t="shared" si="159"/>
        <v>75.050659194956594</v>
      </c>
      <c r="QH9" s="17">
        <f t="shared" si="159"/>
        <v>76.333394233199769</v>
      </c>
      <c r="QI9" s="17">
        <f t="shared" si="159"/>
        <v>75.079438890180569</v>
      </c>
      <c r="QJ9" s="17">
        <f t="shared" si="159"/>
        <v>76.321266496902325</v>
      </c>
      <c r="QK9" s="17">
        <f t="shared" si="159"/>
        <v>75.953212820902323</v>
      </c>
      <c r="QL9" s="17">
        <f t="shared" si="159"/>
        <v>76.760471899762635</v>
      </c>
      <c r="QM9" s="17">
        <f t="shared" ref="QM9:SX9" si="160">((5/QM$8)*100)</f>
        <v>75.561905808649783</v>
      </c>
      <c r="QN9" s="17">
        <f t="shared" si="160"/>
        <v>76.736126222910428</v>
      </c>
      <c r="QO9" s="17">
        <f t="shared" si="160"/>
        <v>75.91081818465976</v>
      </c>
      <c r="QP9" s="17">
        <f t="shared" si="160"/>
        <v>77.055884501046407</v>
      </c>
      <c r="QQ9" s="17">
        <f t="shared" si="160"/>
        <v>76.660241808305585</v>
      </c>
      <c r="QR9" s="17">
        <f t="shared" si="160"/>
        <v>77.024385269466023</v>
      </c>
      <c r="QS9" s="17">
        <f t="shared" si="160"/>
        <v>77.673924863423352</v>
      </c>
      <c r="QT9" s="17">
        <f t="shared" si="160"/>
        <v>76.79214994877016</v>
      </c>
      <c r="QU9" s="17">
        <f t="shared" si="160"/>
        <v>77.463874617391269</v>
      </c>
      <c r="QV9" s="17">
        <f t="shared" si="160"/>
        <v>76.068766164612796</v>
      </c>
      <c r="QW9" s="17">
        <f t="shared" si="160"/>
        <v>76.411398972065598</v>
      </c>
      <c r="QX9" s="17">
        <f t="shared" si="160"/>
        <v>75.91577095916125</v>
      </c>
      <c r="QY9" s="17">
        <f t="shared" si="160"/>
        <v>75.366105350220479</v>
      </c>
      <c r="QZ9" s="17">
        <f t="shared" si="160"/>
        <v>74.873425999465454</v>
      </c>
      <c r="RA9" s="17">
        <f t="shared" si="160"/>
        <v>74.364647046793948</v>
      </c>
      <c r="RB9" s="17">
        <f t="shared" si="160"/>
        <v>75.317589167656962</v>
      </c>
      <c r="RC9" s="17">
        <f t="shared" si="160"/>
        <v>74.368862301516756</v>
      </c>
      <c r="RD9" s="17">
        <f t="shared" si="160"/>
        <v>75.298608880881218</v>
      </c>
      <c r="RE9" s="17">
        <f t="shared" si="160"/>
        <v>74.307086419141513</v>
      </c>
      <c r="RF9" s="17">
        <f t="shared" si="160"/>
        <v>73.777677478712974</v>
      </c>
      <c r="RG9" s="17">
        <f t="shared" si="160"/>
        <v>74.312437136862769</v>
      </c>
      <c r="RH9" s="17">
        <f t="shared" si="160"/>
        <v>73.983240670033041</v>
      </c>
      <c r="RI9" s="17">
        <f t="shared" si="160"/>
        <v>73.235198167788496</v>
      </c>
      <c r="RJ9" s="17">
        <f t="shared" si="160"/>
        <v>73.719801801413766</v>
      </c>
      <c r="RK9" s="17">
        <f t="shared" si="160"/>
        <v>73.383125142689394</v>
      </c>
      <c r="RL9" s="17">
        <f t="shared" si="160"/>
        <v>74.1280182729638</v>
      </c>
      <c r="RM9" s="17">
        <f t="shared" si="160"/>
        <v>73.998288387416437</v>
      </c>
      <c r="RN9" s="17">
        <f t="shared" si="160"/>
        <v>74.077732233690554</v>
      </c>
      <c r="RO9" s="17">
        <f t="shared" si="160"/>
        <v>73.661707823186831</v>
      </c>
      <c r="RP9" s="17">
        <f t="shared" si="160"/>
        <v>73.258943374692507</v>
      </c>
      <c r="RQ9" s="17">
        <f t="shared" si="160"/>
        <v>72.951876079079838</v>
      </c>
      <c r="RR9" s="17">
        <f t="shared" si="160"/>
        <v>73.730505122369834</v>
      </c>
      <c r="RS9" s="17">
        <f t="shared" si="160"/>
        <v>72.929255645319728</v>
      </c>
      <c r="RT9" s="17">
        <f t="shared" si="160"/>
        <v>73.09326257314865</v>
      </c>
      <c r="RU9" s="17">
        <f t="shared" si="160"/>
        <v>73.551044424830849</v>
      </c>
      <c r="RV9" s="17">
        <f t="shared" si="160"/>
        <v>72.621850117129696</v>
      </c>
      <c r="RW9" s="17">
        <f t="shared" si="160"/>
        <v>73.358495776852081</v>
      </c>
      <c r="RX9" s="17">
        <f t="shared" si="160"/>
        <v>73.252362210884314</v>
      </c>
      <c r="RY9" s="17">
        <f t="shared" si="160"/>
        <v>72.790187882673422</v>
      </c>
      <c r="RZ9" s="17">
        <f t="shared" si="160"/>
        <v>73.455853032327568</v>
      </c>
      <c r="SA9" s="17">
        <f t="shared" si="160"/>
        <v>73.098608643841516</v>
      </c>
      <c r="SB9" s="17">
        <f t="shared" si="160"/>
        <v>72.701972193873743</v>
      </c>
      <c r="SC9" s="17">
        <f t="shared" si="160"/>
        <v>72.147758609632533</v>
      </c>
      <c r="SD9" s="17">
        <f t="shared" si="160"/>
        <v>72.832043961154454</v>
      </c>
      <c r="SE9" s="17">
        <f t="shared" si="160"/>
        <v>72.308481127486431</v>
      </c>
      <c r="SF9" s="17">
        <f t="shared" si="160"/>
        <v>71.431972951092916</v>
      </c>
      <c r="SG9" s="17">
        <f t="shared" si="160"/>
        <v>70.814723392632231</v>
      </c>
      <c r="SH9" s="17">
        <f t="shared" si="160"/>
        <v>71.462089045557391</v>
      </c>
      <c r="SI9" s="17">
        <f t="shared" si="160"/>
        <v>72.109728234880365</v>
      </c>
      <c r="SJ9" s="17">
        <f t="shared" si="160"/>
        <v>71.893422689564204</v>
      </c>
      <c r="SK9" s="17">
        <f t="shared" si="160"/>
        <v>71.154468991373122</v>
      </c>
      <c r="SL9" s="17">
        <f t="shared" si="160"/>
        <v>71.782576098733557</v>
      </c>
      <c r="SM9" s="17">
        <f t="shared" si="160"/>
        <v>72.410940679484625</v>
      </c>
      <c r="SN9" s="17">
        <f t="shared" si="160"/>
        <v>71.979260295151263</v>
      </c>
      <c r="SO9" s="17">
        <f t="shared" si="160"/>
        <v>71.7094333759606</v>
      </c>
      <c r="SP9" s="17">
        <f t="shared" si="160"/>
        <v>72.213542008586856</v>
      </c>
      <c r="SQ9" s="17">
        <f t="shared" si="160"/>
        <v>72.306922735904294</v>
      </c>
      <c r="SR9" s="17">
        <f t="shared" si="160"/>
        <v>72.101941593910141</v>
      </c>
      <c r="SS9" s="17">
        <f t="shared" si="160"/>
        <v>72.068553467892286</v>
      </c>
      <c r="ST9" s="17">
        <f t="shared" si="160"/>
        <v>72.432275822106334</v>
      </c>
      <c r="SU9" s="17">
        <f t="shared" si="160"/>
        <v>71.859729807415917</v>
      </c>
      <c r="SV9" s="17">
        <f t="shared" si="160"/>
        <v>72.443844611946275</v>
      </c>
      <c r="SW9" s="17">
        <f t="shared" si="160"/>
        <v>72.062009359053462</v>
      </c>
      <c r="SX9" s="17">
        <f t="shared" si="160"/>
        <v>72.63865254736433</v>
      </c>
      <c r="SY9" s="17">
        <f t="shared" ref="SY9:VJ9" si="161">((5/SY$8)*100)</f>
        <v>73.133136061386836</v>
      </c>
      <c r="SZ9" s="17">
        <f t="shared" si="161"/>
        <v>72.808276355762359</v>
      </c>
      <c r="TA9" s="17">
        <f t="shared" si="161"/>
        <v>73.336918693802815</v>
      </c>
      <c r="TB9" s="17">
        <f t="shared" si="161"/>
        <v>72.813753368320434</v>
      </c>
      <c r="TC9" s="17">
        <f t="shared" si="161"/>
        <v>73.374642161726484</v>
      </c>
      <c r="TD9" s="17">
        <f t="shared" si="161"/>
        <v>72.545152640374866</v>
      </c>
      <c r="TE9" s="17">
        <f t="shared" si="161"/>
        <v>73.095643499647423</v>
      </c>
      <c r="TF9" s="17">
        <f t="shared" si="161"/>
        <v>72.882342364005268</v>
      </c>
      <c r="TG9" s="17">
        <f t="shared" si="161"/>
        <v>73.427377131522263</v>
      </c>
      <c r="TH9" s="17">
        <f t="shared" si="161"/>
        <v>73.155045540331585</v>
      </c>
      <c r="TI9" s="17">
        <f t="shared" si="161"/>
        <v>73.385262142639988</v>
      </c>
      <c r="TJ9" s="17">
        <f t="shared" si="161"/>
        <v>73.498519083030388</v>
      </c>
      <c r="TK9" s="17">
        <f t="shared" si="161"/>
        <v>73.155452244945067</v>
      </c>
      <c r="TL9" s="17">
        <f t="shared" si="161"/>
        <v>72.987559449132775</v>
      </c>
      <c r="TM9" s="17">
        <f t="shared" si="161"/>
        <v>73.267379124088478</v>
      </c>
      <c r="TN9" s="17">
        <f t="shared" si="161"/>
        <v>73.22973430232264</v>
      </c>
      <c r="TO9" s="17">
        <f t="shared" si="161"/>
        <v>73.101025617403252</v>
      </c>
      <c r="TP9" s="17">
        <f t="shared" si="161"/>
        <v>73.10152359488427</v>
      </c>
      <c r="TQ9" s="17">
        <f t="shared" si="161"/>
        <v>73.373827753947822</v>
      </c>
      <c r="TR9" s="17">
        <f t="shared" si="161"/>
        <v>73.04874066912646</v>
      </c>
      <c r="TS9" s="17">
        <f t="shared" si="161"/>
        <v>73.389109056216057</v>
      </c>
      <c r="TT9" s="17">
        <f t="shared" si="161"/>
        <v>73.20977849920925</v>
      </c>
      <c r="TU9" s="17">
        <f t="shared" si="161"/>
        <v>73.297803187682888</v>
      </c>
      <c r="TV9" s="17">
        <f t="shared" si="161"/>
        <v>73.42010021603744</v>
      </c>
      <c r="TW9" s="17">
        <f t="shared" si="161"/>
        <v>73.629111994660462</v>
      </c>
      <c r="TX9" s="17">
        <f t="shared" si="161"/>
        <v>73.174301185423673</v>
      </c>
      <c r="TY9" s="17">
        <f t="shared" si="161"/>
        <v>73.501834718874321</v>
      </c>
      <c r="TZ9" s="17">
        <f t="shared" si="161"/>
        <v>73.072129172907268</v>
      </c>
      <c r="UA9" s="17">
        <f t="shared" si="161"/>
        <v>73.378202401232002</v>
      </c>
      <c r="UB9" s="17">
        <f t="shared" si="161"/>
        <v>73.275468755616629</v>
      </c>
      <c r="UC9" s="17">
        <f t="shared" si="161"/>
        <v>73.527384355210799</v>
      </c>
      <c r="UD9" s="17">
        <f t="shared" si="161"/>
        <v>73.324267235529391</v>
      </c>
      <c r="UE9" s="17">
        <f t="shared" si="161"/>
        <v>73.757325650430346</v>
      </c>
      <c r="UF9" s="17">
        <f t="shared" si="161"/>
        <v>73.687037139170855</v>
      </c>
      <c r="UG9" s="17">
        <f t="shared" si="161"/>
        <v>73.766745950925312</v>
      </c>
      <c r="UH9" s="17">
        <f t="shared" si="161"/>
        <v>73.385844982409637</v>
      </c>
      <c r="UI9" s="17">
        <f t="shared" si="161"/>
        <v>73.841576900219565</v>
      </c>
      <c r="UJ9" s="17">
        <f t="shared" si="161"/>
        <v>74.033945672383368</v>
      </c>
      <c r="UK9" s="17">
        <f t="shared" si="161"/>
        <v>73.590995265645972</v>
      </c>
      <c r="UL9" s="17">
        <f t="shared" si="161"/>
        <v>74.03986937439376</v>
      </c>
      <c r="UM9" s="17">
        <f t="shared" si="161"/>
        <v>73.538317789351666</v>
      </c>
      <c r="UN9" s="17">
        <f t="shared" si="161"/>
        <v>73.981585074929072</v>
      </c>
      <c r="UO9" s="17">
        <f t="shared" si="161"/>
        <v>73.581250812816137</v>
      </c>
      <c r="UP9" s="17">
        <f t="shared" si="161"/>
        <v>73.672887270261967</v>
      </c>
      <c r="UQ9" s="17">
        <f t="shared" si="161"/>
        <v>73.920380103692452</v>
      </c>
      <c r="UR9" s="17">
        <f t="shared" si="161"/>
        <v>73.543317013721079</v>
      </c>
      <c r="US9" s="17">
        <f t="shared" si="161"/>
        <v>73.973947720593685</v>
      </c>
      <c r="UT9" s="17">
        <f t="shared" si="161"/>
        <v>73.861345979063429</v>
      </c>
      <c r="UU9" s="17">
        <f t="shared" si="161"/>
        <v>73.628320926823392</v>
      </c>
      <c r="UV9" s="17">
        <f t="shared" si="161"/>
        <v>73.945125281218679</v>
      </c>
      <c r="UW9" s="17">
        <f t="shared" si="161"/>
        <v>73.698605458610032</v>
      </c>
      <c r="UX9" s="17">
        <f t="shared" si="161"/>
        <v>73.80085837329861</v>
      </c>
      <c r="UY9" s="17">
        <f t="shared" si="161"/>
        <v>73.932287773711963</v>
      </c>
      <c r="UZ9" s="17">
        <f t="shared" si="161"/>
        <v>74.107730772688498</v>
      </c>
      <c r="VA9" s="17">
        <f t="shared" si="161"/>
        <v>74.207192935475234</v>
      </c>
      <c r="VB9" s="17">
        <f t="shared" si="161"/>
        <v>74.320768436572251</v>
      </c>
      <c r="VC9" s="17">
        <f t="shared" si="161"/>
        <v>73.974616366048664</v>
      </c>
      <c r="VD9" s="17">
        <f t="shared" si="161"/>
        <v>74.38221000285597</v>
      </c>
      <c r="VE9" s="17">
        <f t="shared" si="161"/>
        <v>74.405115272520604</v>
      </c>
      <c r="VF9" s="17">
        <f t="shared" si="161"/>
        <v>74.810776235030929</v>
      </c>
      <c r="VG9" s="17">
        <f t="shared" si="161"/>
        <v>74.290138179657021</v>
      </c>
      <c r="VH9" s="17">
        <f t="shared" si="161"/>
        <v>74.588804806174537</v>
      </c>
      <c r="VI9" s="17">
        <f t="shared" si="161"/>
        <v>74.494485080151421</v>
      </c>
      <c r="VJ9" s="17">
        <f t="shared" si="161"/>
        <v>74.186884835047579</v>
      </c>
      <c r="VK9" s="17">
        <f t="shared" ref="VK9:XV9" si="162">((5/VK$8)*100)</f>
        <v>74.352177905598793</v>
      </c>
      <c r="VL9" s="17">
        <f t="shared" si="162"/>
        <v>74.630578635753025</v>
      </c>
      <c r="VM9" s="17">
        <f t="shared" si="162"/>
        <v>74.751071304894367</v>
      </c>
      <c r="VN9" s="17">
        <f t="shared" si="162"/>
        <v>74.771264454196327</v>
      </c>
      <c r="VO9" s="17">
        <f t="shared" si="162"/>
        <v>74.861959084536551</v>
      </c>
      <c r="VP9" s="17">
        <f t="shared" si="162"/>
        <v>75.008462009910161</v>
      </c>
      <c r="VQ9" s="17">
        <f t="shared" si="162"/>
        <v>74.426912771658223</v>
      </c>
      <c r="VR9" s="17">
        <f t="shared" si="162"/>
        <v>74.73880461045465</v>
      </c>
      <c r="VS9" s="17">
        <f t="shared" si="162"/>
        <v>74.400596383394372</v>
      </c>
      <c r="VT9" s="17">
        <f t="shared" si="162"/>
        <v>74.449022223949996</v>
      </c>
      <c r="VU9" s="17">
        <f t="shared" si="162"/>
        <v>74.483435468135696</v>
      </c>
      <c r="VV9" s="17">
        <f t="shared" si="162"/>
        <v>74.476935764551158</v>
      </c>
      <c r="VW9" s="17">
        <f t="shared" si="162"/>
        <v>74.188892122148047</v>
      </c>
      <c r="VX9" s="17">
        <f t="shared" si="162"/>
        <v>74.011517193197236</v>
      </c>
      <c r="VY9" s="17">
        <f t="shared" si="162"/>
        <v>73.745057662962395</v>
      </c>
      <c r="VZ9" s="17">
        <f t="shared" si="162"/>
        <v>74.003414779579586</v>
      </c>
      <c r="WA9" s="17">
        <f t="shared" si="162"/>
        <v>73.9863865048831</v>
      </c>
      <c r="WB9" s="17">
        <f t="shared" si="162"/>
        <v>74.347451362320143</v>
      </c>
      <c r="WC9" s="17">
        <f t="shared" si="162"/>
        <v>73.849789528099848</v>
      </c>
      <c r="WD9" s="17">
        <f t="shared" si="162"/>
        <v>74.206771420150375</v>
      </c>
      <c r="WE9" s="17">
        <f t="shared" si="162"/>
        <v>74.022214966046647</v>
      </c>
      <c r="WF9" s="17">
        <f t="shared" si="162"/>
        <v>74.145856970917578</v>
      </c>
      <c r="WG9" s="17">
        <f t="shared" si="162"/>
        <v>74.166757086015593</v>
      </c>
      <c r="WH9" s="17">
        <f t="shared" si="162"/>
        <v>73.909527925880667</v>
      </c>
      <c r="WI9" s="17">
        <f t="shared" si="162"/>
        <v>74.208016644381559</v>
      </c>
      <c r="WJ9" s="17">
        <f t="shared" si="162"/>
        <v>74.480827818691225</v>
      </c>
      <c r="WK9" s="17">
        <f t="shared" si="162"/>
        <v>74.236043623798722</v>
      </c>
      <c r="WL9" s="17">
        <f t="shared" si="162"/>
        <v>74.531580818201618</v>
      </c>
      <c r="WM9" s="17">
        <f t="shared" si="162"/>
        <v>74.400472945709112</v>
      </c>
      <c r="WN9" s="17">
        <f t="shared" si="162"/>
        <v>74.432129579995845</v>
      </c>
      <c r="WO9" s="17">
        <f t="shared" si="162"/>
        <v>74.339967290414393</v>
      </c>
      <c r="WP9" s="17">
        <f t="shared" si="162"/>
        <v>74.556389482578652</v>
      </c>
      <c r="WQ9" s="17">
        <f t="shared" si="162"/>
        <v>74.390654953759295</v>
      </c>
      <c r="WR9" s="17">
        <f t="shared" si="162"/>
        <v>74.47061888036869</v>
      </c>
      <c r="WS9" s="17">
        <f t="shared" si="162"/>
        <v>74.50133122115524</v>
      </c>
      <c r="WT9" s="17">
        <f t="shared" si="162"/>
        <v>74.689808983259695</v>
      </c>
      <c r="WU9" s="17">
        <f t="shared" si="162"/>
        <v>74.393210164053201</v>
      </c>
      <c r="WV9" s="17">
        <f t="shared" si="162"/>
        <v>74.724731557062853</v>
      </c>
      <c r="WW9" s="17">
        <f t="shared" si="162"/>
        <v>74.501960814537654</v>
      </c>
      <c r="WX9" s="17">
        <f t="shared" si="162"/>
        <v>74.651301527820593</v>
      </c>
      <c r="WY9" s="17">
        <f t="shared" si="162"/>
        <v>74.799958060878211</v>
      </c>
      <c r="WZ9" s="17">
        <f t="shared" si="162"/>
        <v>74.685921862635112</v>
      </c>
      <c r="XA9" s="17">
        <f t="shared" si="162"/>
        <v>74.868915948855658</v>
      </c>
      <c r="XB9" s="17">
        <f t="shared" si="162"/>
        <v>74.743553920378233</v>
      </c>
      <c r="XC9" s="17">
        <f t="shared" si="162"/>
        <v>74.866121758737322</v>
      </c>
      <c r="XD9" s="17">
        <f t="shared" si="162"/>
        <v>74.695109564286867</v>
      </c>
      <c r="XE9" s="17">
        <f t="shared" si="162"/>
        <v>74.491594865046068</v>
      </c>
      <c r="XF9" s="17">
        <f t="shared" si="162"/>
        <v>74.543629056054954</v>
      </c>
      <c r="XG9" s="17">
        <f t="shared" si="162"/>
        <v>74.423250561557253</v>
      </c>
      <c r="XH9" s="17">
        <f t="shared" si="162"/>
        <v>74.326973839963927</v>
      </c>
      <c r="XI9" s="17">
        <f t="shared" si="162"/>
        <v>74.640471532001797</v>
      </c>
      <c r="XJ9" s="17">
        <f t="shared" si="162"/>
        <v>74.294880931081636</v>
      </c>
      <c r="XK9" s="17">
        <f t="shared" si="162"/>
        <v>74.32392420651658</v>
      </c>
      <c r="XL9" s="17">
        <f t="shared" si="162"/>
        <v>74.051821884681829</v>
      </c>
      <c r="XM9" s="17">
        <f t="shared" si="162"/>
        <v>73.827804980280831</v>
      </c>
      <c r="XN9" s="17">
        <f t="shared" si="162"/>
        <v>74.132868727659655</v>
      </c>
      <c r="XO9" s="17">
        <f t="shared" si="162"/>
        <v>73.942620526471458</v>
      </c>
      <c r="XP9" s="17">
        <f t="shared" si="162"/>
        <v>74.201827789087076</v>
      </c>
      <c r="XQ9" s="17">
        <f t="shared" si="162"/>
        <v>73.612492156764233</v>
      </c>
      <c r="XR9" s="17">
        <f t="shared" si="162"/>
        <v>73.911816483678933</v>
      </c>
      <c r="XS9" s="17">
        <f t="shared" si="162"/>
        <v>73.780072641419551</v>
      </c>
      <c r="XT9" s="17">
        <f t="shared" si="162"/>
        <v>74.077732233690554</v>
      </c>
      <c r="XU9" s="17">
        <f t="shared" si="162"/>
        <v>74.375449593782207</v>
      </c>
      <c r="XV9" s="17">
        <f t="shared" si="162"/>
        <v>74.13471518134736</v>
      </c>
      <c r="XW9" s="17">
        <f t="shared" ref="XW9:AAH9" si="163">((5/XW$8)*100)</f>
        <v>74.430348195554501</v>
      </c>
      <c r="XX9" s="17">
        <f t="shared" si="163"/>
        <v>74.41472388689651</v>
      </c>
      <c r="XY9" s="17">
        <f t="shared" si="163"/>
        <v>74.709208772010498</v>
      </c>
      <c r="XZ9" s="17">
        <f t="shared" si="163"/>
        <v>74.617776870547587</v>
      </c>
      <c r="YA9" s="17">
        <f t="shared" si="163"/>
        <v>74.910821811743943</v>
      </c>
      <c r="YB9" s="17">
        <f t="shared" si="163"/>
        <v>74.893397933397836</v>
      </c>
      <c r="YC9" s="17">
        <f t="shared" si="163"/>
        <v>75.185314713196504</v>
      </c>
      <c r="YD9" s="17">
        <f t="shared" si="163"/>
        <v>74.922462319655992</v>
      </c>
      <c r="YE9" s="17">
        <f t="shared" si="163"/>
        <v>74.947395944275215</v>
      </c>
      <c r="YF9" s="17">
        <f t="shared" si="163"/>
        <v>74.804122463593913</v>
      </c>
      <c r="YG9" s="17">
        <f t="shared" si="163"/>
        <v>75.091314400608795</v>
      </c>
      <c r="YH9" s="17">
        <f t="shared" si="163"/>
        <v>75.063050171696261</v>
      </c>
      <c r="YI9" s="17">
        <f t="shared" si="163"/>
        <v>75.202210387931984</v>
      </c>
      <c r="YJ9" s="17">
        <f t="shared" si="163"/>
        <v>75.382769223579743</v>
      </c>
      <c r="YK9" s="17">
        <f t="shared" si="163"/>
        <v>75.520899853733795</v>
      </c>
      <c r="YL9" s="17">
        <f t="shared" si="163"/>
        <v>75.616607733723171</v>
      </c>
      <c r="YM9" s="17">
        <f t="shared" si="163"/>
        <v>75.711857250543247</v>
      </c>
      <c r="YN9" s="17">
        <f t="shared" si="163"/>
        <v>75.838010010617324</v>
      </c>
      <c r="YO9" s="17">
        <f t="shared" si="163"/>
        <v>75.848847537220905</v>
      </c>
      <c r="YP9" s="17">
        <f t="shared" si="163"/>
        <v>75.786966939919267</v>
      </c>
      <c r="YQ9" s="17">
        <f t="shared" si="163"/>
        <v>76.057111777689983</v>
      </c>
      <c r="YR9" s="17">
        <f t="shared" si="163"/>
        <v>75.96355274184863</v>
      </c>
      <c r="YS9" s="17">
        <f t="shared" si="163"/>
        <v>76.066699628903166</v>
      </c>
      <c r="YT9" s="17">
        <f t="shared" si="163"/>
        <v>76.200372812357799</v>
      </c>
      <c r="YU9" s="17">
        <f t="shared" si="163"/>
        <v>76.251003160360725</v>
      </c>
      <c r="YV9" s="17">
        <f t="shared" si="163"/>
        <v>76.414656709179866</v>
      </c>
      <c r="YW9" s="17">
        <f t="shared" si="163"/>
        <v>76.218203053880913</v>
      </c>
      <c r="YX9" s="17">
        <f t="shared" si="163"/>
        <v>76.207080038825509</v>
      </c>
      <c r="YY9" s="17">
        <f t="shared" si="163"/>
        <v>76.358785905983638</v>
      </c>
      <c r="YZ9" s="17">
        <f t="shared" si="163"/>
        <v>76.387850126505725</v>
      </c>
      <c r="ZA9" s="17">
        <f t="shared" si="163"/>
        <v>76.609844152168435</v>
      </c>
      <c r="ZB9" s="17">
        <f t="shared" si="163"/>
        <v>76.48590409779186</v>
      </c>
      <c r="ZC9" s="17">
        <f t="shared" si="163"/>
        <v>76.73703541017268</v>
      </c>
      <c r="ZD9" s="17">
        <f t="shared" si="163"/>
        <v>76.572781244457673</v>
      </c>
      <c r="ZE9" s="17">
        <f t="shared" si="163"/>
        <v>76.620872575290505</v>
      </c>
      <c r="ZF9" s="17">
        <f t="shared" si="163"/>
        <v>76.688762452763129</v>
      </c>
      <c r="ZG9" s="17">
        <f t="shared" si="163"/>
        <v>76.736275690991889</v>
      </c>
      <c r="ZH9" s="17">
        <f t="shared" si="163"/>
        <v>76.753558633214254</v>
      </c>
      <c r="ZI9" s="17">
        <f t="shared" si="163"/>
        <v>76.691169840886559</v>
      </c>
      <c r="ZJ9" s="17">
        <f t="shared" si="163"/>
        <v>76.807656559606613</v>
      </c>
      <c r="ZK9" s="17">
        <f t="shared" si="163"/>
        <v>76.617162038613003</v>
      </c>
      <c r="ZL9" s="17">
        <f t="shared" si="163"/>
        <v>76.673862213735958</v>
      </c>
      <c r="ZM9" s="17">
        <f t="shared" si="163"/>
        <v>76.887590342918656</v>
      </c>
      <c r="ZN9" s="17">
        <f t="shared" si="163"/>
        <v>76.943409017358533</v>
      </c>
      <c r="ZO9" s="17">
        <f t="shared" si="163"/>
        <v>76.764074006667798</v>
      </c>
      <c r="ZP9" s="17">
        <f t="shared" si="163"/>
        <v>76.868474741729528</v>
      </c>
      <c r="ZQ9" s="17">
        <f t="shared" si="163"/>
        <v>76.904317873878952</v>
      </c>
      <c r="ZR9" s="17">
        <f t="shared" si="163"/>
        <v>77.017673662228262</v>
      </c>
      <c r="ZS9" s="17">
        <f t="shared" si="163"/>
        <v>76.772619572100524</v>
      </c>
      <c r="ZT9" s="17">
        <f t="shared" si="163"/>
        <v>76.789124058707912</v>
      </c>
      <c r="ZU9" s="17">
        <f t="shared" si="163"/>
        <v>76.671691815645403</v>
      </c>
      <c r="ZV9" s="17">
        <f t="shared" si="163"/>
        <v>76.432289154480799</v>
      </c>
      <c r="ZW9" s="17">
        <f t="shared" si="163"/>
        <v>76.093039696020583</v>
      </c>
      <c r="ZX9" s="17">
        <f t="shared" si="163"/>
        <v>75.823588011193593</v>
      </c>
      <c r="ZY9" s="17">
        <f t="shared" si="163"/>
        <v>76.073588517959706</v>
      </c>
      <c r="ZZ9" s="17">
        <f t="shared" si="163"/>
        <v>76.110199788058637</v>
      </c>
      <c r="AAA9" s="17">
        <f t="shared" si="163"/>
        <v>76.229800316766386</v>
      </c>
      <c r="AAB9" s="17">
        <f t="shared" si="163"/>
        <v>76.265831212820402</v>
      </c>
      <c r="AAC9" s="17">
        <f t="shared" si="163"/>
        <v>76.393898545034688</v>
      </c>
      <c r="AAD9" s="17">
        <f t="shared" si="163"/>
        <v>76.245507648362448</v>
      </c>
      <c r="AAE9" s="17">
        <f t="shared" si="163"/>
        <v>76.372764415479367</v>
      </c>
      <c r="AAF9" s="17">
        <f t="shared" si="163"/>
        <v>76.453808717843273</v>
      </c>
      <c r="AAG9" s="17">
        <f t="shared" si="163"/>
        <v>76.351905934451892</v>
      </c>
      <c r="AAH9" s="17">
        <f t="shared" si="163"/>
        <v>76.587472198270419</v>
      </c>
      <c r="AAI9" s="17">
        <f t="shared" ref="AAI9:ACT9" si="164">((5/AAI$8)*100)</f>
        <v>76.649292826959226</v>
      </c>
      <c r="AAJ9" s="17">
        <f t="shared" si="164"/>
        <v>76.765523866472662</v>
      </c>
      <c r="AAK9" s="17">
        <f t="shared" si="164"/>
        <v>76.409976312907361</v>
      </c>
      <c r="AAL9" s="17">
        <f t="shared" si="164"/>
        <v>76.642809135822858</v>
      </c>
      <c r="AAM9" s="17">
        <f t="shared" si="164"/>
        <v>76.703788790705957</v>
      </c>
      <c r="AAN9" s="17">
        <f t="shared" si="164"/>
        <v>76.423617749163199</v>
      </c>
      <c r="AAO9" s="17">
        <f t="shared" si="164"/>
        <v>76.129501853103477</v>
      </c>
      <c r="AAP9" s="17">
        <f t="shared" si="164"/>
        <v>76.36752416486658</v>
      </c>
      <c r="AAQ9" s="17">
        <f t="shared" si="164"/>
        <v>76.067012733156929</v>
      </c>
      <c r="AAR9" s="17">
        <f t="shared" si="164"/>
        <v>76.11039548433115</v>
      </c>
      <c r="AAS9" s="17">
        <f t="shared" si="164"/>
        <v>76.249761145326531</v>
      </c>
      <c r="AAT9" s="17">
        <f t="shared" si="164"/>
        <v>76.336262842487329</v>
      </c>
      <c r="AAU9" s="17">
        <f t="shared" si="164"/>
        <v>76.300233652332267</v>
      </c>
      <c r="AAV9" s="17">
        <f t="shared" si="164"/>
        <v>76.333964512681703</v>
      </c>
      <c r="AAW9" s="17">
        <f t="shared" si="164"/>
        <v>76.541490955347143</v>
      </c>
      <c r="AAX9" s="17">
        <f t="shared" si="164"/>
        <v>76.348986914644556</v>
      </c>
      <c r="AAY9" s="17">
        <f t="shared" si="164"/>
        <v>76.581336629804909</v>
      </c>
      <c r="AAZ9" s="17">
        <f t="shared" si="164"/>
        <v>76.475814016234523</v>
      </c>
      <c r="ABA9" s="17">
        <f t="shared" si="164"/>
        <v>76.534517067197314</v>
      </c>
      <c r="ABB9" s="17">
        <f t="shared" si="164"/>
        <v>76.558573145767085</v>
      </c>
      <c r="ABC9" s="17">
        <f t="shared" si="164"/>
        <v>76.48830131559879</v>
      </c>
      <c r="ABD9" s="17">
        <f t="shared" si="164"/>
        <v>76.478203266132113</v>
      </c>
      <c r="ABE9" s="17">
        <f t="shared" si="164"/>
        <v>76.578814738038119</v>
      </c>
      <c r="ABF9" s="17">
        <f t="shared" si="164"/>
        <v>76.331317744044497</v>
      </c>
      <c r="ABG9" s="17">
        <f t="shared" si="164"/>
        <v>76.473620137404978</v>
      </c>
      <c r="ABH9" s="17">
        <f t="shared" si="164"/>
        <v>76.094789107787506</v>
      </c>
      <c r="ABI9" s="17">
        <f t="shared" si="164"/>
        <v>76.061118168378329</v>
      </c>
      <c r="ABJ9" s="17">
        <f t="shared" si="164"/>
        <v>76.285253514039752</v>
      </c>
      <c r="ABK9" s="17">
        <f t="shared" si="164"/>
        <v>76.168092098104495</v>
      </c>
      <c r="ABL9" s="17">
        <f t="shared" si="164"/>
        <v>75.797395074594576</v>
      </c>
      <c r="ABM9" s="17">
        <f t="shared" si="164"/>
        <v>76.018825025397192</v>
      </c>
      <c r="ABN9" s="17">
        <f t="shared" si="164"/>
        <v>75.9777344343576</v>
      </c>
      <c r="ABO9" s="17">
        <f t="shared" si="164"/>
        <v>76.042948369845405</v>
      </c>
      <c r="ABP9" s="17">
        <f t="shared" si="164"/>
        <v>75.985727525883291</v>
      </c>
      <c r="ABQ9" s="17">
        <f t="shared" si="164"/>
        <v>75.92891347431086</v>
      </c>
      <c r="ABR9" s="17">
        <f t="shared" si="164"/>
        <v>75.985545293131807</v>
      </c>
      <c r="ABS9" s="17">
        <f t="shared" si="164"/>
        <v>75.945156565819431</v>
      </c>
      <c r="ABT9" s="17">
        <f t="shared" si="164"/>
        <v>75.93714688697888</v>
      </c>
      <c r="ABU9" s="17">
        <f t="shared" si="164"/>
        <v>76.041451039866843</v>
      </c>
      <c r="ABV9" s="17">
        <f t="shared" si="164"/>
        <v>75.91328305813191</v>
      </c>
      <c r="ABW9" s="17">
        <f t="shared" si="164"/>
        <v>76.024993321561368</v>
      </c>
      <c r="ABX9" s="17">
        <f t="shared" si="164"/>
        <v>76.104489997186448</v>
      </c>
      <c r="ABY9" s="17">
        <f t="shared" si="164"/>
        <v>75.953212820902323</v>
      </c>
      <c r="ABZ9" s="17">
        <f t="shared" si="164"/>
        <v>75.740440622607181</v>
      </c>
      <c r="ACA9" s="17">
        <f t="shared" si="164"/>
        <v>75.87448453031206</v>
      </c>
      <c r="ACB9" s="17">
        <f t="shared" si="164"/>
        <v>75.725968559898419</v>
      </c>
      <c r="ACC9" s="17">
        <f t="shared" si="164"/>
        <v>75.765561587519116</v>
      </c>
      <c r="ACD9" s="17">
        <f t="shared" si="164"/>
        <v>75.898533739057967</v>
      </c>
      <c r="ACE9" s="17">
        <f t="shared" si="164"/>
        <v>75.766573426000633</v>
      </c>
      <c r="ACF9" s="17">
        <f t="shared" si="164"/>
        <v>75.976544341017132</v>
      </c>
      <c r="ACG9" s="17">
        <f t="shared" si="164"/>
        <v>75.883491913512387</v>
      </c>
      <c r="ACH9" s="17">
        <f t="shared" si="164"/>
        <v>75.752683127541928</v>
      </c>
      <c r="ACI9" s="17">
        <f t="shared" si="164"/>
        <v>75.80695899775904</v>
      </c>
      <c r="ACJ9" s="17">
        <f t="shared" si="164"/>
        <v>75.930144267274116</v>
      </c>
      <c r="ACK9" s="17">
        <f t="shared" si="164"/>
        <v>75.97623398740248</v>
      </c>
      <c r="ACL9" s="17">
        <f t="shared" si="164"/>
        <v>75.96086464015707</v>
      </c>
      <c r="ACM9" s="17">
        <f t="shared" si="164"/>
        <v>76.067847690435258</v>
      </c>
      <c r="ACN9" s="17">
        <f t="shared" si="164"/>
        <v>76.0904524751883</v>
      </c>
      <c r="ACO9" s="17">
        <f t="shared" si="164"/>
        <v>76.173981373456982</v>
      </c>
      <c r="ACP9" s="17">
        <f t="shared" si="164"/>
        <v>76.280155187070562</v>
      </c>
      <c r="ACQ9" s="17">
        <f t="shared" si="164"/>
        <v>76.112113541739717</v>
      </c>
      <c r="ACR9" s="17">
        <f t="shared" si="164"/>
        <v>76.16467319389298</v>
      </c>
      <c r="ACS9" s="17">
        <f t="shared" si="164"/>
        <v>76.141467674377836</v>
      </c>
      <c r="ACT9" s="17">
        <f t="shared" si="164"/>
        <v>76.193718075326885</v>
      </c>
      <c r="ACU9" s="17">
        <f t="shared" ref="ACU9:AFF9" si="165">((5/ACU$8)*100)</f>
        <v>75.975637408041933</v>
      </c>
      <c r="ACV9" s="17">
        <f t="shared" si="165"/>
        <v>76.177473435320593</v>
      </c>
      <c r="ACW9" s="17">
        <f t="shared" si="165"/>
        <v>76.012732524516053</v>
      </c>
      <c r="ACX9" s="17">
        <f t="shared" si="165"/>
        <v>76.213628564162676</v>
      </c>
      <c r="ACY9" s="17">
        <f t="shared" si="165"/>
        <v>76.332292082579798</v>
      </c>
      <c r="ACZ9" s="17">
        <f t="shared" si="165"/>
        <v>76.390970157506075</v>
      </c>
      <c r="ADA9" s="17">
        <f t="shared" si="165"/>
        <v>76.486730332764111</v>
      </c>
      <c r="ADB9" s="17">
        <f t="shared" si="165"/>
        <v>76.515145910294649</v>
      </c>
      <c r="ADC9" s="17">
        <f t="shared" si="165"/>
        <v>76.565750157795392</v>
      </c>
      <c r="ADD9" s="17">
        <f t="shared" si="165"/>
        <v>76.593879858136503</v>
      </c>
      <c r="ADE9" s="17">
        <f t="shared" si="165"/>
        <v>76.621888009758081</v>
      </c>
      <c r="ADF9" s="17">
        <f t="shared" si="165"/>
        <v>76.657175594363437</v>
      </c>
      <c r="ADG9" s="17">
        <f t="shared" si="165"/>
        <v>76.655390491804027</v>
      </c>
      <c r="ADH9" s="17">
        <f t="shared" si="165"/>
        <v>76.631531397609322</v>
      </c>
      <c r="ADI9" s="17">
        <f t="shared" si="165"/>
        <v>76.644503631033373</v>
      </c>
      <c r="ADJ9" s="17">
        <f t="shared" si="165"/>
        <v>76.533056363828607</v>
      </c>
      <c r="ADK9" s="17">
        <f t="shared" si="165"/>
        <v>76.589926862335517</v>
      </c>
      <c r="ADL9" s="17">
        <f t="shared" si="165"/>
        <v>76.595612040754176</v>
      </c>
      <c r="ADM9" s="17">
        <f t="shared" si="165"/>
        <v>76.630329222103526</v>
      </c>
      <c r="ADN9" s="17">
        <f t="shared" si="165"/>
        <v>76.70846804666148</v>
      </c>
      <c r="ADO9" s="17">
        <f t="shared" si="165"/>
        <v>76.808170270470711</v>
      </c>
      <c r="ADP9" s="17">
        <f t="shared" si="165"/>
        <v>76.711948705905229</v>
      </c>
      <c r="ADQ9" s="17">
        <f t="shared" si="165"/>
        <v>76.803932361336905</v>
      </c>
      <c r="ADR9" s="17">
        <f t="shared" si="165"/>
        <v>76.765791511617905</v>
      </c>
      <c r="ADS9" s="17">
        <f t="shared" si="165"/>
        <v>76.814124806091172</v>
      </c>
      <c r="ADT9" s="17">
        <f t="shared" si="165"/>
        <v>76.833545638191396</v>
      </c>
      <c r="ADU9" s="17">
        <f t="shared" si="165"/>
        <v>76.917447416096508</v>
      </c>
      <c r="ADV9" s="17">
        <f t="shared" si="165"/>
        <v>76.936575573512812</v>
      </c>
      <c r="ADW9" s="17">
        <f t="shared" si="165"/>
        <v>76.628012091678201</v>
      </c>
      <c r="ADX9" s="17">
        <f t="shared" si="165"/>
        <v>76.464009404151895</v>
      </c>
      <c r="ADY9" s="17">
        <f t="shared" si="165"/>
        <v>76.497924993784551</v>
      </c>
      <c r="ADZ9" s="17">
        <f t="shared" si="165"/>
        <v>76.47556578164081</v>
      </c>
      <c r="AEA9" s="17">
        <f t="shared" si="165"/>
        <v>76.558346984407009</v>
      </c>
      <c r="AEB9" s="17">
        <f t="shared" si="165"/>
        <v>76.480034695286378</v>
      </c>
      <c r="AEC9" s="17">
        <f t="shared" si="165"/>
        <v>76.249677754338052</v>
      </c>
      <c r="AED9" s="17">
        <f t="shared" si="165"/>
        <v>76.435859420474571</v>
      </c>
      <c r="AEE9" s="17">
        <f t="shared" si="165"/>
        <v>76.407030026152214</v>
      </c>
      <c r="AEF9" s="17">
        <f t="shared" si="165"/>
        <v>76.433562971317713</v>
      </c>
      <c r="AEG9" s="17">
        <f t="shared" si="165"/>
        <v>76.508277690402764</v>
      </c>
      <c r="AEH9" s="17">
        <f t="shared" si="165"/>
        <v>76.280388760757774</v>
      </c>
      <c r="AEI9" s="17">
        <f t="shared" si="165"/>
        <v>76.464455874624136</v>
      </c>
      <c r="AEJ9" s="17">
        <f t="shared" si="165"/>
        <v>76.552354459990369</v>
      </c>
      <c r="AEK9" s="17">
        <f t="shared" si="165"/>
        <v>76.373364396593331</v>
      </c>
      <c r="AEL9" s="17">
        <f t="shared" si="165"/>
        <v>76.556369579175538</v>
      </c>
      <c r="AEM9" s="17">
        <f t="shared" si="165"/>
        <v>76.364617963799617</v>
      </c>
      <c r="AEN9" s="17">
        <f t="shared" si="165"/>
        <v>76.505987525441341</v>
      </c>
      <c r="AEO9" s="17">
        <f t="shared" si="165"/>
        <v>76.221233541859576</v>
      </c>
      <c r="AEP9" s="17">
        <f t="shared" si="165"/>
        <v>76.348287841156065</v>
      </c>
      <c r="AEQ9" s="17">
        <f t="shared" si="165"/>
        <v>76.394409196619506</v>
      </c>
      <c r="AER9" s="17">
        <f t="shared" si="165"/>
        <v>76.393389074164801</v>
      </c>
      <c r="AES9" s="17">
        <f t="shared" si="165"/>
        <v>76.45935659100698</v>
      </c>
      <c r="AET9" s="17">
        <f t="shared" si="165"/>
        <v>76.47826179786567</v>
      </c>
      <c r="AEU9" s="17">
        <f t="shared" si="165"/>
        <v>76.52381987341073</v>
      </c>
      <c r="AEV9" s="17">
        <f t="shared" si="165"/>
        <v>76.555871660969444</v>
      </c>
      <c r="AEW9" s="17">
        <f t="shared" si="165"/>
        <v>76.554491138817653</v>
      </c>
      <c r="AEX9" s="17">
        <f t="shared" si="165"/>
        <v>76.659575511072532</v>
      </c>
      <c r="AEY9" s="17">
        <f t="shared" si="165"/>
        <v>76.771137942797509</v>
      </c>
      <c r="AEZ9" s="17">
        <f t="shared" si="165"/>
        <v>76.696171320202538</v>
      </c>
      <c r="AFA9" s="17">
        <f t="shared" si="165"/>
        <v>76.701106154330915</v>
      </c>
      <c r="AFB9" s="17">
        <f t="shared" si="165"/>
        <v>76.772186730660735</v>
      </c>
      <c r="AFC9" s="17">
        <f t="shared" si="165"/>
        <v>76.658171245416838</v>
      </c>
      <c r="AFD9" s="17">
        <f t="shared" si="165"/>
        <v>76.834461441992048</v>
      </c>
      <c r="AFE9" s="17">
        <f t="shared" si="165"/>
        <v>76.872022496048302</v>
      </c>
      <c r="AFF9" s="17">
        <f t="shared" si="165"/>
        <v>76.561922908111711</v>
      </c>
      <c r="AFG9" s="17">
        <f t="shared" ref="AFG9:AHR9" si="166">((5/AFG$8)*100)</f>
        <v>76.736809795027455</v>
      </c>
      <c r="AFH9" s="17">
        <f t="shared" si="166"/>
        <v>76.82655561850828</v>
      </c>
      <c r="AFI9" s="17">
        <f t="shared" si="166"/>
        <v>76.87032995738798</v>
      </c>
      <c r="AFJ9" s="17">
        <f t="shared" si="166"/>
        <v>76.927021898558891</v>
      </c>
      <c r="AFK9" s="17">
        <f t="shared" si="166"/>
        <v>76.983547225506172</v>
      </c>
      <c r="AFL9" s="17">
        <f t="shared" si="166"/>
        <v>76.922686782653685</v>
      </c>
      <c r="AFM9" s="17">
        <f t="shared" si="166"/>
        <v>76.946493163574075</v>
      </c>
      <c r="AFN9" s="17">
        <f t="shared" si="166"/>
        <v>77.009120778274053</v>
      </c>
      <c r="AFO9" s="17">
        <f t="shared" si="166"/>
        <v>76.961493039521912</v>
      </c>
      <c r="AFP9" s="17">
        <f t="shared" si="166"/>
        <v>76.972172966366671</v>
      </c>
      <c r="AFQ9" s="17">
        <f t="shared" si="166"/>
        <v>77.053733253376137</v>
      </c>
      <c r="AFR9" s="17">
        <f t="shared" si="166"/>
        <v>76.788207463414011</v>
      </c>
      <c r="AFS9" s="17">
        <f t="shared" si="166"/>
        <v>76.95905778126037</v>
      </c>
      <c r="AFT9" s="17">
        <f t="shared" si="166"/>
        <v>76.854662355723207</v>
      </c>
      <c r="AFU9" s="17">
        <f t="shared" si="166"/>
        <v>77.012141362424444</v>
      </c>
      <c r="AFV9" s="17">
        <f t="shared" si="166"/>
        <v>76.749264279902093</v>
      </c>
      <c r="AFW9" s="17">
        <f t="shared" si="166"/>
        <v>76.918556783391395</v>
      </c>
      <c r="AFX9" s="17">
        <f t="shared" si="166"/>
        <v>77.062426506042385</v>
      </c>
      <c r="AFY9" s="17">
        <f t="shared" si="166"/>
        <v>76.895422882106175</v>
      </c>
      <c r="AFZ9" s="17">
        <f t="shared" si="166"/>
        <v>76.950161562524713</v>
      </c>
      <c r="AGA9" s="17">
        <f t="shared" si="166"/>
        <v>76.897654130712908</v>
      </c>
      <c r="AGB9" s="17">
        <f t="shared" si="166"/>
        <v>77.015072389262627</v>
      </c>
      <c r="AGC9" s="17">
        <f t="shared" si="166"/>
        <v>76.931201339385254</v>
      </c>
      <c r="AGD9" s="17">
        <f t="shared" si="166"/>
        <v>77.016789660145918</v>
      </c>
      <c r="AGE9" s="17">
        <f t="shared" si="166"/>
        <v>76.951999485687907</v>
      </c>
      <c r="AGF9" s="17">
        <f t="shared" si="166"/>
        <v>77.030982672083155</v>
      </c>
      <c r="AGG9" s="17">
        <f t="shared" si="166"/>
        <v>76.916663057831641</v>
      </c>
      <c r="AGH9" s="17">
        <f t="shared" si="166"/>
        <v>77.069958517943078</v>
      </c>
      <c r="AGI9" s="17">
        <f t="shared" si="166"/>
        <v>76.999307972746749</v>
      </c>
      <c r="AGJ9" s="17">
        <f t="shared" si="166"/>
        <v>77.09623702763264</v>
      </c>
      <c r="AGK9" s="17">
        <f t="shared" si="166"/>
        <v>77.01959827861198</v>
      </c>
      <c r="AGL9" s="17">
        <f t="shared" si="166"/>
        <v>77.184192292299912</v>
      </c>
      <c r="AGM9" s="17">
        <f t="shared" si="166"/>
        <v>77.181597089004796</v>
      </c>
      <c r="AGN9" s="17">
        <f t="shared" si="166"/>
        <v>77.154355674870587</v>
      </c>
      <c r="AGO9" s="17">
        <f t="shared" si="166"/>
        <v>77.23801948951413</v>
      </c>
      <c r="AGP9" s="17">
        <f t="shared" si="166"/>
        <v>77.173876722290188</v>
      </c>
      <c r="AGQ9" s="17">
        <f t="shared" si="166"/>
        <v>77.275624024514499</v>
      </c>
      <c r="AGR9" s="17">
        <f t="shared" si="166"/>
        <v>77.199365538520269</v>
      </c>
      <c r="AGS9" s="17">
        <f t="shared" si="166"/>
        <v>77.184560304233699</v>
      </c>
      <c r="AGT9" s="17">
        <f t="shared" si="166"/>
        <v>77.151558161703974</v>
      </c>
      <c r="AGU9" s="17">
        <f t="shared" si="166"/>
        <v>77.2524610426875</v>
      </c>
      <c r="AGV9" s="17">
        <f t="shared" si="166"/>
        <v>77.328850464902303</v>
      </c>
      <c r="AGW9" s="17">
        <f t="shared" si="166"/>
        <v>77.356398537649625</v>
      </c>
      <c r="AGX9" s="17">
        <f t="shared" si="166"/>
        <v>77.208128998026424</v>
      </c>
      <c r="AGY9" s="17">
        <f t="shared" si="166"/>
        <v>77.332450010989348</v>
      </c>
      <c r="AGZ9" s="17">
        <f t="shared" si="166"/>
        <v>77.402164445980333</v>
      </c>
      <c r="AHA9" s="17">
        <f t="shared" si="166"/>
        <v>77.411267334817467</v>
      </c>
      <c r="AHB9" s="17">
        <f t="shared" si="166"/>
        <v>77.317959764169316</v>
      </c>
      <c r="AHC9" s="17">
        <f t="shared" si="166"/>
        <v>77.237227475111936</v>
      </c>
      <c r="AHD9" s="17">
        <f t="shared" si="166"/>
        <v>77.300415439387024</v>
      </c>
      <c r="AHE9" s="17">
        <f t="shared" si="166"/>
        <v>77.303648732220168</v>
      </c>
      <c r="AHF9" s="17">
        <f t="shared" si="166"/>
        <v>77.390461602436702</v>
      </c>
      <c r="AHG9" s="17">
        <f t="shared" si="166"/>
        <v>77.42932183636438</v>
      </c>
      <c r="AHH9" s="17">
        <f t="shared" si="166"/>
        <v>77.295452107707135</v>
      </c>
      <c r="AHI9" s="17">
        <f t="shared" si="166"/>
        <v>77.375805690929099</v>
      </c>
      <c r="AHJ9" s="17">
        <f t="shared" si="166"/>
        <v>77.432254443921423</v>
      </c>
      <c r="AHK9" s="17">
        <f t="shared" si="166"/>
        <v>77.381910005756239</v>
      </c>
      <c r="AHL9" s="17">
        <f t="shared" si="166"/>
        <v>77.444047057874684</v>
      </c>
      <c r="AHM9" s="17">
        <f t="shared" si="166"/>
        <v>77.340839251632985</v>
      </c>
      <c r="AHN9" s="17">
        <f t="shared" si="166"/>
        <v>77.497025728099018</v>
      </c>
      <c r="AHO9" s="17">
        <f t="shared" si="166"/>
        <v>77.51749463457341</v>
      </c>
      <c r="AHP9" s="17">
        <f t="shared" si="166"/>
        <v>77.514370496847391</v>
      </c>
      <c r="AHQ9" s="17">
        <f t="shared" si="166"/>
        <v>77.622895843415208</v>
      </c>
      <c r="AHR9" s="17">
        <f t="shared" si="166"/>
        <v>77.508159509072684</v>
      </c>
      <c r="AHS9" s="17">
        <f t="shared" ref="AHS9:AKE9" si="167">((5/AHS$8)*100)</f>
        <v>77.663166686913485</v>
      </c>
      <c r="AHT9" s="17">
        <f t="shared" si="167"/>
        <v>77.50782979581578</v>
      </c>
      <c r="AHU9" s="17">
        <f t="shared" si="167"/>
        <v>77.633023282685315</v>
      </c>
      <c r="AHV9" s="17">
        <f t="shared" si="167"/>
        <v>77.368315983575769</v>
      </c>
      <c r="AHW9" s="17">
        <f t="shared" si="167"/>
        <v>77.353980175877254</v>
      </c>
      <c r="AHX9" s="17">
        <f t="shared" si="167"/>
        <v>77.507178000983842</v>
      </c>
      <c r="AHY9" s="17">
        <f t="shared" si="167"/>
        <v>77.388783388795289</v>
      </c>
      <c r="AHZ9" s="17">
        <f t="shared" si="167"/>
        <v>77.455003994656352</v>
      </c>
      <c r="AIA9" s="17">
        <f t="shared" si="167"/>
        <v>77.440579932030303</v>
      </c>
      <c r="AIB9" s="17">
        <f t="shared" si="167"/>
        <v>77.317476795147726</v>
      </c>
      <c r="AIC9" s="17">
        <f t="shared" si="167"/>
        <v>77.469136532552412</v>
      </c>
      <c r="AID9" s="17">
        <f t="shared" si="167"/>
        <v>77.51766295320148</v>
      </c>
      <c r="AIE9" s="17">
        <f t="shared" si="167"/>
        <v>77.218762221410557</v>
      </c>
      <c r="AIF9" s="17">
        <f t="shared" si="167"/>
        <v>77.363680643900707</v>
      </c>
      <c r="AIG9" s="17">
        <f t="shared" si="167"/>
        <v>77.253429876710555</v>
      </c>
      <c r="AIH9" s="17">
        <f t="shared" si="167"/>
        <v>77.318676011946536</v>
      </c>
      <c r="AII9" s="17">
        <f t="shared" si="167"/>
        <v>77.332975364340456</v>
      </c>
      <c r="AIJ9" s="17">
        <f t="shared" si="167"/>
        <v>77.290933846238502</v>
      </c>
      <c r="AIK9" s="17">
        <f t="shared" si="167"/>
        <v>77.322074929160195</v>
      </c>
      <c r="AIL9" s="17">
        <f t="shared" si="167"/>
        <v>77.224239196357914</v>
      </c>
      <c r="AIM9" s="17">
        <f t="shared" si="167"/>
        <v>77.305663117554985</v>
      </c>
      <c r="AIN9" s="17">
        <f t="shared" si="167"/>
        <v>77.347794720398568</v>
      </c>
      <c r="AIO9" s="17">
        <f t="shared" si="167"/>
        <v>77.367473559377231</v>
      </c>
      <c r="AIP9" s="17">
        <f t="shared" si="167"/>
        <v>77.181320913033474</v>
      </c>
      <c r="AIQ9" s="17">
        <f t="shared" si="167"/>
        <v>77.3287599169104</v>
      </c>
      <c r="AIR9" s="17">
        <f t="shared" si="167"/>
        <v>77.287354383598213</v>
      </c>
      <c r="AIS9" s="17">
        <f t="shared" si="167"/>
        <v>77.273781006104628</v>
      </c>
      <c r="AIT9" s="17">
        <f t="shared" si="167"/>
        <v>77.337574653632018</v>
      </c>
      <c r="AIU9" s="17">
        <f t="shared" si="167"/>
        <v>77.357049310979903</v>
      </c>
      <c r="AIV9" s="17">
        <f t="shared" si="167"/>
        <v>77.222405362733411</v>
      </c>
      <c r="AIW9" s="17">
        <f t="shared" si="167"/>
        <v>77.274878675599496</v>
      </c>
      <c r="AIX9" s="17">
        <f t="shared" si="167"/>
        <v>77.272411480553586</v>
      </c>
      <c r="AIY9" s="17">
        <f t="shared" si="167"/>
        <v>77.31371924868057</v>
      </c>
      <c r="AIZ9" s="17">
        <f t="shared" si="167"/>
        <v>77.32758140530369</v>
      </c>
      <c r="AJA9" s="17">
        <f t="shared" si="167"/>
        <v>77.346856047903117</v>
      </c>
      <c r="AJB9" s="17">
        <f t="shared" si="167"/>
        <v>77.257197795594621</v>
      </c>
      <c r="AJC9" s="17">
        <f t="shared" si="167"/>
        <v>77.401559289594417</v>
      </c>
      <c r="AJD9" s="17">
        <f t="shared" si="167"/>
        <v>77.284890621541635</v>
      </c>
      <c r="AJE9" s="17">
        <f t="shared" si="167"/>
        <v>77.320324095422251</v>
      </c>
      <c r="AJF9" s="17">
        <f t="shared" si="167"/>
        <v>77.258397065689749</v>
      </c>
      <c r="AJG9" s="17">
        <f t="shared" si="167"/>
        <v>77.143044927886578</v>
      </c>
      <c r="AJH9" s="17">
        <f t="shared" si="167"/>
        <v>77.253613172367437</v>
      </c>
      <c r="AJI9" s="17">
        <f t="shared" si="167"/>
        <v>77.170817882976834</v>
      </c>
      <c r="AJJ9" s="17">
        <f t="shared" si="167"/>
        <v>77.09916669227411</v>
      </c>
      <c r="AJK9" s="17">
        <f t="shared" si="167"/>
        <v>77.107735812867546</v>
      </c>
      <c r="AJL9" s="17">
        <f t="shared" si="167"/>
        <v>77.148204875821747</v>
      </c>
      <c r="AJM9" s="17">
        <f t="shared" si="167"/>
        <v>77.177933726205765</v>
      </c>
      <c r="AJN9" s="17">
        <f t="shared" si="167"/>
        <v>77.244787216084092</v>
      </c>
      <c r="AJO9" s="17">
        <f t="shared" si="167"/>
        <v>77.205310626363101</v>
      </c>
      <c r="AJP9" s="17">
        <f t="shared" si="167"/>
        <v>77.113167888378484</v>
      </c>
      <c r="AJQ9" s="17">
        <f t="shared" si="167"/>
        <v>77.179668795219897</v>
      </c>
      <c r="AJR9" s="17">
        <f t="shared" si="167"/>
        <v>77.224932308588095</v>
      </c>
      <c r="AJS9" s="17">
        <f t="shared" si="167"/>
        <v>77.18578974154488</v>
      </c>
      <c r="AJT9" s="17">
        <f t="shared" si="167"/>
        <v>77.31513841318791</v>
      </c>
      <c r="AJU9" s="17">
        <f t="shared" si="167"/>
        <v>77.312697739474729</v>
      </c>
      <c r="AJV9" s="17">
        <f t="shared" si="167"/>
        <v>77.215843659765</v>
      </c>
      <c r="AJW9" s="17">
        <f t="shared" si="167"/>
        <v>77.328818415654609</v>
      </c>
      <c r="AJX9" s="17">
        <f t="shared" si="167"/>
        <v>77.148754959611082</v>
      </c>
      <c r="AJY9" s="17">
        <f t="shared" si="167"/>
        <v>77.256038396791325</v>
      </c>
      <c r="AJZ9" s="17">
        <f t="shared" si="167"/>
        <v>77.201682861953955</v>
      </c>
      <c r="AKA9" s="17">
        <f t="shared" si="167"/>
        <v>77.235829243691697</v>
      </c>
      <c r="AKB9" s="17">
        <f t="shared" si="167"/>
        <v>77.135134047448176</v>
      </c>
      <c r="AKC9" s="17">
        <f t="shared" si="167"/>
        <v>77.148546848187195</v>
      </c>
      <c r="AKD9" s="17">
        <f t="shared" si="167"/>
        <v>77.161917798619967</v>
      </c>
      <c r="AKE9" s="17">
        <f t="shared" si="167"/>
        <v>77.164943939267701</v>
      </c>
      <c r="AKF9" s="17">
        <f t="shared" ref="AKF9:AMQ9" si="168">((5/AKF$8)*100)</f>
        <v>77.162817810191214</v>
      </c>
      <c r="AKG9" s="17">
        <f t="shared" si="168"/>
        <v>77.160699129148398</v>
      </c>
      <c r="AKH9" s="17">
        <f t="shared" si="168"/>
        <v>77.163711646248615</v>
      </c>
      <c r="AKI9" s="17">
        <f t="shared" si="168"/>
        <v>77.156483955163338</v>
      </c>
      <c r="AKJ9" s="17">
        <f t="shared" si="168"/>
        <v>77.072788705015853</v>
      </c>
      <c r="AKK9" s="17">
        <f t="shared" si="168"/>
        <v>77.065758205655783</v>
      </c>
      <c r="AKL9" s="17">
        <f t="shared" si="168"/>
        <v>76.982699289785259</v>
      </c>
      <c r="AKM9" s="17">
        <f t="shared" si="168"/>
        <v>77.061905696216186</v>
      </c>
      <c r="AKN9" s="17">
        <f t="shared" si="168"/>
        <v>76.948871080097348</v>
      </c>
      <c r="AKO9" s="17">
        <f t="shared" si="168"/>
        <v>76.987454710951383</v>
      </c>
      <c r="AKP9" s="17">
        <f t="shared" si="168"/>
        <v>77.030982672083155</v>
      </c>
      <c r="AKQ9" s="17">
        <f t="shared" si="168"/>
        <v>77.064344809389837</v>
      </c>
      <c r="AKR9" s="17">
        <f t="shared" si="168"/>
        <v>76.917010060120205</v>
      </c>
      <c r="AKS9" s="17">
        <f t="shared" si="168"/>
        <v>77.015423379280662</v>
      </c>
      <c r="AKT9" s="17">
        <f t="shared" si="168"/>
        <v>76.833993742888325</v>
      </c>
      <c r="AKU9" s="17">
        <f t="shared" si="168"/>
        <v>76.807656559606613</v>
      </c>
      <c r="AKV9" s="17">
        <f t="shared" si="168"/>
        <v>76.860773490654637</v>
      </c>
      <c r="AKW9" s="17">
        <f t="shared" si="168"/>
        <v>76.874102920493598</v>
      </c>
      <c r="AKX9" s="17">
        <f t="shared" si="168"/>
        <v>76.862644523015149</v>
      </c>
      <c r="AKY9" s="17">
        <f t="shared" si="168"/>
        <v>76.762442575788157</v>
      </c>
      <c r="AKZ9" s="17">
        <f t="shared" si="168"/>
        <v>76.854641058033067</v>
      </c>
      <c r="ALA9" s="17">
        <f t="shared" si="168"/>
        <v>76.740081344486228</v>
      </c>
      <c r="ALB9" s="17">
        <f t="shared" si="168"/>
        <v>76.758360339248966</v>
      </c>
      <c r="ALC9" s="17">
        <f t="shared" si="168"/>
        <v>76.610487339417048</v>
      </c>
      <c r="ALD9" s="17">
        <f t="shared" si="168"/>
        <v>76.687331125721698</v>
      </c>
      <c r="ALE9" s="17">
        <f t="shared" si="168"/>
        <v>76.759196234631005</v>
      </c>
      <c r="ALF9" s="17">
        <f t="shared" si="168"/>
        <v>76.680021242267031</v>
      </c>
      <c r="ALG9" s="17">
        <f t="shared" si="168"/>
        <v>76.654562160778269</v>
      </c>
      <c r="ALH9" s="17">
        <f t="shared" si="168"/>
        <v>76.740614951499168</v>
      </c>
      <c r="ALI9" s="17">
        <f t="shared" si="168"/>
        <v>76.739306478614978</v>
      </c>
      <c r="ALJ9" s="17">
        <f t="shared" si="168"/>
        <v>76.786380290033122</v>
      </c>
      <c r="ALK9" s="17">
        <f t="shared" si="168"/>
        <v>76.828518746158565</v>
      </c>
      <c r="ALL9" s="17">
        <f t="shared" si="168"/>
        <v>76.831900101931154</v>
      </c>
      <c r="ALM9" s="17">
        <f t="shared" si="168"/>
        <v>76.898024173120078</v>
      </c>
      <c r="ALN9" s="17">
        <f t="shared" si="168"/>
        <v>76.833815100990719</v>
      </c>
      <c r="ALO9" s="17">
        <f t="shared" si="168"/>
        <v>76.952731972381244</v>
      </c>
      <c r="ALP9" s="17">
        <f t="shared" si="168"/>
        <v>76.778163541233624</v>
      </c>
      <c r="ALQ9" s="17">
        <f t="shared" si="168"/>
        <v>76.906212873400875</v>
      </c>
      <c r="ALR9" s="17">
        <f t="shared" si="168"/>
        <v>76.899856445292301</v>
      </c>
      <c r="ALS9" s="17">
        <f t="shared" si="168"/>
        <v>76.898305599341427</v>
      </c>
      <c r="ALT9" s="17">
        <f t="shared" si="168"/>
        <v>76.968471774206577</v>
      </c>
      <c r="ALU9" s="17">
        <f t="shared" si="168"/>
        <v>76.842801936438605</v>
      </c>
      <c r="ALV9" s="17">
        <f t="shared" si="168"/>
        <v>76.946085451539687</v>
      </c>
      <c r="ALW9" s="17">
        <f t="shared" si="168"/>
        <v>76.839908128130418</v>
      </c>
      <c r="ALX9" s="17">
        <f t="shared" si="168"/>
        <v>76.852686352961314</v>
      </c>
      <c r="ALY9" s="17">
        <f t="shared" si="168"/>
        <v>76.846495676645716</v>
      </c>
      <c r="ALZ9" s="17">
        <f t="shared" si="168"/>
        <v>76.882861272565123</v>
      </c>
      <c r="AMA9" s="17">
        <f t="shared" si="168"/>
        <v>76.914419561523914</v>
      </c>
      <c r="AMB9" s="17">
        <f t="shared" si="168"/>
        <v>76.936461281081648</v>
      </c>
      <c r="AMC9" s="17">
        <f t="shared" si="168"/>
        <v>76.911319778652171</v>
      </c>
      <c r="AMD9" s="17">
        <f t="shared" si="168"/>
        <v>76.989794507016839</v>
      </c>
      <c r="AME9" s="17">
        <f t="shared" si="168"/>
        <v>76.917629764925081</v>
      </c>
      <c r="AMF9" s="17">
        <f t="shared" si="168"/>
        <v>76.944219464912109</v>
      </c>
      <c r="AMG9" s="17">
        <f t="shared" si="168"/>
        <v>76.867765064865694</v>
      </c>
      <c r="AMH9" s="17">
        <f t="shared" si="168"/>
        <v>76.964435135760169</v>
      </c>
      <c r="AMI9" s="17">
        <f t="shared" si="168"/>
        <v>77.018916040148966</v>
      </c>
      <c r="AMJ9" s="17">
        <f t="shared" si="168"/>
        <v>77.082658101387366</v>
      </c>
      <c r="AMK9" s="17">
        <f t="shared" si="168"/>
        <v>77.038840172993389</v>
      </c>
      <c r="AML9" s="17">
        <f t="shared" si="168"/>
        <v>77.069733711366226</v>
      </c>
      <c r="AMM9" s="17">
        <f t="shared" si="168"/>
        <v>77.114533696392101</v>
      </c>
      <c r="AMN9" s="17">
        <f t="shared" si="168"/>
        <v>76.931652667674271</v>
      </c>
      <c r="AMO9" s="17">
        <f t="shared" si="168"/>
        <v>76.759409624190738</v>
      </c>
      <c r="AMP9" s="17">
        <f t="shared" si="168"/>
        <v>76.643415374071282</v>
      </c>
      <c r="AMQ9" s="17">
        <f t="shared" si="168"/>
        <v>76.633182024577039</v>
      </c>
      <c r="AMR9" s="17">
        <f t="shared" ref="AMR9:APC9" si="169">((5/AMR$8)*100)</f>
        <v>76.659523699953439</v>
      </c>
      <c r="AMS9" s="17">
        <f t="shared" si="169"/>
        <v>76.768073636317695</v>
      </c>
      <c r="AMT9" s="17">
        <f t="shared" si="169"/>
        <v>76.789645184217775</v>
      </c>
      <c r="AMU9" s="17">
        <f t="shared" si="169"/>
        <v>76.811162017332208</v>
      </c>
      <c r="AMV9" s="17">
        <f t="shared" si="169"/>
        <v>76.736941258405196</v>
      </c>
      <c r="AMW9" s="17">
        <f t="shared" si="169"/>
        <v>76.785730367381817</v>
      </c>
      <c r="AMX9" s="17">
        <f t="shared" si="169"/>
        <v>76.784433559222336</v>
      </c>
      <c r="AMY9" s="17">
        <f t="shared" si="169"/>
        <v>76.846684952236828</v>
      </c>
      <c r="AMZ9" s="17">
        <f t="shared" si="169"/>
        <v>76.795438421736947</v>
      </c>
      <c r="ANA9" s="17">
        <f t="shared" si="169"/>
        <v>76.852969895795866</v>
      </c>
      <c r="ANB9" s="17">
        <f t="shared" si="169"/>
        <v>76.883245080473088</v>
      </c>
      <c r="ANC9" s="17">
        <f t="shared" si="169"/>
        <v>76.755482383560519</v>
      </c>
      <c r="AND9" s="17">
        <f t="shared" si="169"/>
        <v>76.875858985027406</v>
      </c>
      <c r="ANE9" s="17">
        <f t="shared" si="169"/>
        <v>76.838417709568574</v>
      </c>
      <c r="ANF9" s="17">
        <f t="shared" si="169"/>
        <v>76.859526755889235</v>
      </c>
      <c r="ANG9" s="17">
        <f t="shared" si="169"/>
        <v>76.979520171910011</v>
      </c>
      <c r="ANH9" s="17">
        <f t="shared" si="169"/>
        <v>76.816428784409737</v>
      </c>
      <c r="ANI9" s="17">
        <f t="shared" si="169"/>
        <v>76.935989256938228</v>
      </c>
      <c r="ANJ9" s="17">
        <f t="shared" si="169"/>
        <v>76.930006263801715</v>
      </c>
      <c r="ANK9" s="17">
        <f t="shared" si="169"/>
        <v>77.013531579968657</v>
      </c>
      <c r="ANL9" s="17">
        <f t="shared" si="169"/>
        <v>76.967208718585354</v>
      </c>
      <c r="ANM9" s="17">
        <f t="shared" si="169"/>
        <v>77.028160753131232</v>
      </c>
      <c r="ANN9" s="17">
        <f t="shared" si="169"/>
        <v>76.999764948085954</v>
      </c>
      <c r="ANO9" s="17">
        <f t="shared" si="169"/>
        <v>77.082833722374005</v>
      </c>
      <c r="ANP9" s="17">
        <f t="shared" si="169"/>
        <v>76.934416120839856</v>
      </c>
      <c r="ANQ9" s="17">
        <f t="shared" si="169"/>
        <v>77.052728520167733</v>
      </c>
      <c r="ANR9" s="17">
        <f t="shared" si="169"/>
        <v>77.015580631859308</v>
      </c>
      <c r="ANS9" s="17">
        <f t="shared" si="169"/>
        <v>77.036110389296809</v>
      </c>
      <c r="ANT9" s="17">
        <f t="shared" si="169"/>
        <v>76.985862366717512</v>
      </c>
      <c r="ANU9" s="17">
        <f t="shared" si="169"/>
        <v>77.024012235814524</v>
      </c>
      <c r="ANV9" s="17">
        <f t="shared" si="169"/>
        <v>76.99596303186992</v>
      </c>
      <c r="ANW9" s="17">
        <f t="shared" si="169"/>
        <v>76.994394716676624</v>
      </c>
      <c r="ANX9" s="17">
        <f t="shared" si="169"/>
        <v>77.045559607581282</v>
      </c>
      <c r="ANY9" s="17">
        <f t="shared" si="169"/>
        <v>77.026363070371104</v>
      </c>
      <c r="ANZ9" s="17">
        <f t="shared" si="169"/>
        <v>77.051054688949321</v>
      </c>
      <c r="AOA9" s="17">
        <f t="shared" si="169"/>
        <v>77.066928194083161</v>
      </c>
      <c r="AOB9" s="17">
        <f t="shared" si="169"/>
        <v>77.01281906161411</v>
      </c>
      <c r="AOC9" s="17">
        <f t="shared" si="169"/>
        <v>77.081075689082155</v>
      </c>
      <c r="AOD9" s="17">
        <f t="shared" si="169"/>
        <v>77.075033053984441</v>
      </c>
      <c r="AOE9" s="17">
        <f t="shared" si="169"/>
        <v>77.090788080362515</v>
      </c>
      <c r="AOF9" s="17">
        <f t="shared" si="169"/>
        <v>77.093448321089809</v>
      </c>
      <c r="AOG9" s="17">
        <f t="shared" si="169"/>
        <v>76.931347994678703</v>
      </c>
      <c r="AOH9" s="17">
        <f t="shared" si="169"/>
        <v>76.994754240612551</v>
      </c>
      <c r="AOI9" s="17">
        <f t="shared" si="169"/>
        <v>77.023471724077226</v>
      </c>
      <c r="AOJ9" s="17">
        <f t="shared" si="169"/>
        <v>76.970115652360391</v>
      </c>
      <c r="AOK9" s="17">
        <f t="shared" si="169"/>
        <v>76.981536068087479</v>
      </c>
      <c r="AOL9" s="17">
        <f t="shared" si="169"/>
        <v>76.949932509660073</v>
      </c>
      <c r="AOM9" s="17">
        <f t="shared" si="169"/>
        <v>76.978515184848845</v>
      </c>
      <c r="AON9" s="17">
        <f t="shared" si="169"/>
        <v>77.024203880726844</v>
      </c>
      <c r="AOO9" s="17">
        <f t="shared" si="169"/>
        <v>77.074106530671713</v>
      </c>
      <c r="AOP9" s="17">
        <f t="shared" si="169"/>
        <v>77.059609889338844</v>
      </c>
      <c r="AOQ9" s="17">
        <f t="shared" si="169"/>
        <v>77.053714655216837</v>
      </c>
      <c r="AOR9" s="17">
        <f t="shared" si="169"/>
        <v>77.013686273944884</v>
      </c>
      <c r="AOS9" s="17">
        <f t="shared" si="169"/>
        <v>76.757346207393056</v>
      </c>
      <c r="AOT9" s="17">
        <f t="shared" si="169"/>
        <v>76.866222555615522</v>
      </c>
      <c r="AOU9" s="17">
        <f t="shared" si="169"/>
        <v>76.966607078193221</v>
      </c>
      <c r="AOV9" s="17">
        <f t="shared" si="169"/>
        <v>76.859353101544286</v>
      </c>
      <c r="AOW9" s="17">
        <f t="shared" si="169"/>
        <v>76.874924497842017</v>
      </c>
      <c r="AOX9" s="17">
        <f t="shared" si="169"/>
        <v>76.90732919167435</v>
      </c>
      <c r="AOY9" s="17">
        <f t="shared" si="169"/>
        <v>76.863849814607036</v>
      </c>
      <c r="AOZ9" s="17">
        <f t="shared" si="169"/>
        <v>76.959303963852989</v>
      </c>
      <c r="APA9" s="17">
        <f t="shared" si="169"/>
        <v>76.903212500617201</v>
      </c>
      <c r="APB9" s="17">
        <f t="shared" si="169"/>
        <v>76.901848153210295</v>
      </c>
      <c r="APC9" s="17">
        <f t="shared" si="169"/>
        <v>76.854445518035973</v>
      </c>
      <c r="APD9" s="17">
        <f t="shared" ref="APD9:ARO9" si="170">((5/APD$8)*100)</f>
        <v>76.869867685973432</v>
      </c>
      <c r="APE9" s="17">
        <f t="shared" si="170"/>
        <v>76.864384735341147</v>
      </c>
      <c r="APF9" s="17">
        <f t="shared" si="170"/>
        <v>76.888090631213274</v>
      </c>
      <c r="APG9" s="17">
        <f t="shared" si="170"/>
        <v>76.878432459590101</v>
      </c>
      <c r="APH9" s="17">
        <f t="shared" si="170"/>
        <v>76.889585905782027</v>
      </c>
      <c r="API9" s="17">
        <f t="shared" si="170"/>
        <v>76.884103261397755</v>
      </c>
      <c r="APJ9" s="17">
        <f t="shared" si="170"/>
        <v>76.80824159973146</v>
      </c>
      <c r="APK9" s="17">
        <f t="shared" si="170"/>
        <v>76.840094257182287</v>
      </c>
      <c r="APL9" s="17">
        <f t="shared" si="170"/>
        <v>76.867751989154655</v>
      </c>
      <c r="APM9" s="17">
        <f t="shared" si="170"/>
        <v>76.808738517308143</v>
      </c>
      <c r="APN9" s="17">
        <f t="shared" si="170"/>
        <v>76.758196265890376</v>
      </c>
      <c r="APO9" s="17">
        <f t="shared" si="170"/>
        <v>76.748858494345598</v>
      </c>
      <c r="APP9" s="17">
        <f t="shared" si="170"/>
        <v>76.637304311066885</v>
      </c>
      <c r="APQ9" s="17">
        <f t="shared" si="170"/>
        <v>76.709830151651076</v>
      </c>
      <c r="APR9" s="17">
        <f t="shared" si="170"/>
        <v>76.651684327739218</v>
      </c>
      <c r="APS9" s="17">
        <f t="shared" si="170"/>
        <v>76.72809306671347</v>
      </c>
      <c r="APT9" s="17">
        <f t="shared" si="170"/>
        <v>76.739226099233676</v>
      </c>
      <c r="APU9" s="17">
        <f t="shared" si="170"/>
        <v>76.660937567501875</v>
      </c>
      <c r="APV9" s="17">
        <f t="shared" si="170"/>
        <v>76.769537847382168</v>
      </c>
      <c r="APW9" s="17">
        <f t="shared" si="170"/>
        <v>76.7684013646588</v>
      </c>
      <c r="APX9" s="17">
        <f t="shared" si="170"/>
        <v>76.836232712111851</v>
      </c>
      <c r="APY9" s="17">
        <f t="shared" si="170"/>
        <v>76.778282039534901</v>
      </c>
      <c r="APZ9" s="17">
        <f t="shared" si="170"/>
        <v>76.837831280143575</v>
      </c>
      <c r="AQA9" s="17">
        <f t="shared" si="170"/>
        <v>76.759851022798713</v>
      </c>
      <c r="AQB9" s="17">
        <f t="shared" si="170"/>
        <v>76.803091791987384</v>
      </c>
      <c r="AQC9" s="17">
        <f t="shared" si="170"/>
        <v>76.814006845261332</v>
      </c>
      <c r="AQD9" s="17">
        <f t="shared" si="170"/>
        <v>76.83697500062371</v>
      </c>
      <c r="AQE9" s="17">
        <f t="shared" si="170"/>
        <v>76.823694018134574</v>
      </c>
      <c r="AQF9" s="17">
        <f t="shared" si="170"/>
        <v>76.786380290033122</v>
      </c>
      <c r="AQG9" s="17">
        <f t="shared" si="170"/>
        <v>76.857401117105624</v>
      </c>
      <c r="AQH9" s="17">
        <f t="shared" si="170"/>
        <v>76.796096049096136</v>
      </c>
      <c r="AQI9" s="17">
        <f t="shared" si="170"/>
        <v>76.862926115356046</v>
      </c>
      <c r="AQJ9" s="17">
        <f t="shared" si="170"/>
        <v>76.861680385627224</v>
      </c>
      <c r="AQK9" s="17">
        <f t="shared" si="170"/>
        <v>76.812569027511358</v>
      </c>
      <c r="AQL9" s="17">
        <f t="shared" si="170"/>
        <v>76.919036537684207</v>
      </c>
      <c r="AQM9" s="17">
        <f t="shared" si="170"/>
        <v>76.762548814566927</v>
      </c>
      <c r="AQN9" s="17">
        <f t="shared" si="170"/>
        <v>76.868658464998077</v>
      </c>
      <c r="AQO9" s="17">
        <f t="shared" si="170"/>
        <v>76.780154063919881</v>
      </c>
      <c r="AQP9" s="17">
        <f t="shared" si="170"/>
        <v>76.886003341703073</v>
      </c>
      <c r="AQQ9" s="17">
        <f t="shared" si="170"/>
        <v>76.817443037703583</v>
      </c>
      <c r="AQR9" s="17">
        <f t="shared" si="170"/>
        <v>76.923061080617643</v>
      </c>
      <c r="AQS9" s="17">
        <f t="shared" si="170"/>
        <v>76.846672806181601</v>
      </c>
      <c r="AQT9" s="17">
        <f t="shared" si="170"/>
        <v>76.857293962423455</v>
      </c>
      <c r="AQU9" s="17">
        <f t="shared" si="170"/>
        <v>76.730267532866122</v>
      </c>
      <c r="AQV9" s="17">
        <f t="shared" si="170"/>
        <v>76.815552459294409</v>
      </c>
      <c r="AQW9" s="17">
        <f t="shared" si="170"/>
        <v>76.751673227301723</v>
      </c>
      <c r="AQX9" s="17">
        <f t="shared" si="170"/>
        <v>76.789736241023093</v>
      </c>
      <c r="AQY9" s="17">
        <f t="shared" si="170"/>
        <v>76.8433956056992</v>
      </c>
      <c r="AQZ9" s="17">
        <f t="shared" si="170"/>
        <v>76.877412601582549</v>
      </c>
      <c r="ARA9" s="17">
        <f t="shared" si="170"/>
        <v>76.790280056995471</v>
      </c>
      <c r="ARB9" s="17">
        <f t="shared" si="170"/>
        <v>76.742454148664635</v>
      </c>
      <c r="ARC9" s="17">
        <f t="shared" si="170"/>
        <v>76.656033254560327</v>
      </c>
      <c r="ARD9" s="17">
        <f t="shared" si="170"/>
        <v>76.689952524978793</v>
      </c>
      <c r="ARE9" s="17">
        <f t="shared" si="170"/>
        <v>76.789705329609703</v>
      </c>
      <c r="ARF9" s="17">
        <f t="shared" si="170"/>
        <v>76.792468404591574</v>
      </c>
      <c r="ARG9" s="17">
        <f t="shared" si="170"/>
        <v>76.644599995654801</v>
      </c>
      <c r="ARH9" s="17">
        <f t="shared" si="170"/>
        <v>76.747761791845988</v>
      </c>
      <c r="ARI9" s="17">
        <f t="shared" si="170"/>
        <v>76.658153999408412</v>
      </c>
      <c r="ARJ9" s="17">
        <f t="shared" si="170"/>
        <v>76.761064379956238</v>
      </c>
      <c r="ARK9" s="17">
        <f t="shared" si="170"/>
        <v>76.694671902997044</v>
      </c>
      <c r="ARL9" s="17">
        <f t="shared" si="170"/>
        <v>76.797363697695928</v>
      </c>
      <c r="ARM9" s="17">
        <f t="shared" si="170"/>
        <v>76.754039681039004</v>
      </c>
      <c r="ARN9" s="17">
        <f t="shared" si="170"/>
        <v>76.691751218740634</v>
      </c>
      <c r="ARO9" s="17">
        <f t="shared" si="170"/>
        <v>76.794038389040594</v>
      </c>
      <c r="ARP9" s="17">
        <f t="shared" ref="ARP9:AUA9" si="171">((5/ARP$8)*100)</f>
        <v>76.796760312231115</v>
      </c>
      <c r="ARQ9" s="17">
        <f t="shared" si="171"/>
        <v>76.810937240688475</v>
      </c>
      <c r="ARR9" s="17">
        <f t="shared" si="171"/>
        <v>76.863278225776781</v>
      </c>
      <c r="ARS9" s="17">
        <f t="shared" si="171"/>
        <v>76.843011118210754</v>
      </c>
      <c r="ART9" s="17">
        <f t="shared" si="171"/>
        <v>76.876150042405882</v>
      </c>
      <c r="ARU9" s="17">
        <f t="shared" si="171"/>
        <v>76.86352445409068</v>
      </c>
      <c r="ARV9" s="17">
        <f t="shared" si="171"/>
        <v>76.843335131289365</v>
      </c>
      <c r="ARW9" s="17">
        <f t="shared" si="171"/>
        <v>76.872548081901485</v>
      </c>
      <c r="ARX9" s="17">
        <f t="shared" si="171"/>
        <v>76.784217817210973</v>
      </c>
      <c r="ARY9" s="17">
        <f t="shared" si="171"/>
        <v>76.764249117703216</v>
      </c>
      <c r="ARZ9" s="17">
        <f t="shared" si="171"/>
        <v>76.766972233946419</v>
      </c>
      <c r="ASA9" s="17">
        <f t="shared" si="171"/>
        <v>76.784764645859241</v>
      </c>
      <c r="ASB9" s="17">
        <f t="shared" si="171"/>
        <v>76.685929884967194</v>
      </c>
      <c r="ASC9" s="17">
        <f t="shared" si="171"/>
        <v>76.684986292558705</v>
      </c>
      <c r="ASD9" s="17">
        <f t="shared" si="171"/>
        <v>76.67281025872434</v>
      </c>
      <c r="ASE9" s="17">
        <f t="shared" si="171"/>
        <v>76.634508772798753</v>
      </c>
      <c r="ASF9" s="17">
        <f t="shared" si="171"/>
        <v>76.641098209480859</v>
      </c>
      <c r="ASG9" s="17">
        <f t="shared" si="171"/>
        <v>76.681236101525954</v>
      </c>
      <c r="ASH9" s="17">
        <f t="shared" si="171"/>
        <v>76.684030885878414</v>
      </c>
      <c r="ASI9" s="17">
        <f t="shared" si="171"/>
        <v>76.645897892140795</v>
      </c>
      <c r="ASJ9" s="17">
        <f t="shared" si="171"/>
        <v>76.700754382463884</v>
      </c>
      <c r="ASK9" s="17">
        <f t="shared" si="171"/>
        <v>76.707229811373821</v>
      </c>
      <c r="ASL9" s="17">
        <f t="shared" si="171"/>
        <v>76.628441346581056</v>
      </c>
      <c r="ASM9" s="17">
        <f t="shared" si="171"/>
        <v>76.668278567334454</v>
      </c>
      <c r="ASN9" s="17">
        <f t="shared" si="171"/>
        <v>76.652586373966287</v>
      </c>
      <c r="ASO9" s="17">
        <f t="shared" si="171"/>
        <v>76.66277317373094</v>
      </c>
      <c r="ASP9" s="17">
        <f t="shared" si="171"/>
        <v>76.698762099301902</v>
      </c>
      <c r="ASQ9" s="17">
        <f t="shared" si="171"/>
        <v>76.664660704115917</v>
      </c>
      <c r="ASR9" s="17">
        <f t="shared" si="171"/>
        <v>76.707922536326805</v>
      </c>
      <c r="ASS9" s="17">
        <f t="shared" si="171"/>
        <v>76.662865466253976</v>
      </c>
      <c r="AST9" s="17">
        <f t="shared" si="171"/>
        <v>76.599656152654589</v>
      </c>
      <c r="ASU9" s="17">
        <f t="shared" si="171"/>
        <v>76.646426403375045</v>
      </c>
      <c r="ASV9" s="17">
        <f t="shared" si="171"/>
        <v>76.652871695311418</v>
      </c>
      <c r="ASW9" s="17">
        <f t="shared" si="171"/>
        <v>76.651993466656947</v>
      </c>
      <c r="ASX9" s="17">
        <f t="shared" si="171"/>
        <v>76.70589625360779</v>
      </c>
      <c r="ASY9" s="17">
        <f t="shared" si="171"/>
        <v>76.621097077218849</v>
      </c>
      <c r="ASZ9" s="17">
        <f t="shared" si="171"/>
        <v>76.602079817658577</v>
      </c>
      <c r="ATA9" s="17">
        <f t="shared" si="171"/>
        <v>76.597639048414621</v>
      </c>
      <c r="ATB9" s="17">
        <f t="shared" si="171"/>
        <v>76.509907418283348</v>
      </c>
      <c r="ATC9" s="17">
        <f t="shared" si="171"/>
        <v>76.447837092490573</v>
      </c>
      <c r="ATD9" s="17">
        <f t="shared" si="171"/>
        <v>76.494091845352514</v>
      </c>
      <c r="ATE9" s="17">
        <f t="shared" si="171"/>
        <v>76.489818187846936</v>
      </c>
      <c r="ATF9" s="17">
        <f t="shared" si="171"/>
        <v>76.420849713370103</v>
      </c>
      <c r="ATG9" s="17">
        <f t="shared" si="171"/>
        <v>76.413097843310723</v>
      </c>
      <c r="ATH9" s="17">
        <f t="shared" si="171"/>
        <v>76.45912626450729</v>
      </c>
      <c r="ATI9" s="17">
        <f t="shared" si="171"/>
        <v>76.379778229067455</v>
      </c>
      <c r="ATJ9" s="17">
        <f t="shared" si="171"/>
        <v>76.475771782817802</v>
      </c>
      <c r="ATK9" s="17">
        <f t="shared" si="171"/>
        <v>76.435825490095667</v>
      </c>
      <c r="ATL9" s="17">
        <f t="shared" si="171"/>
        <v>76.453070416918479</v>
      </c>
      <c r="ATM9" s="17">
        <f t="shared" si="171"/>
        <v>76.441766289553954</v>
      </c>
      <c r="ATN9" s="17">
        <f t="shared" si="171"/>
        <v>76.409153239534035</v>
      </c>
      <c r="ATO9" s="17">
        <f t="shared" si="171"/>
        <v>76.447679096823691</v>
      </c>
      <c r="ATP9" s="17">
        <f t="shared" si="171"/>
        <v>76.432874940399998</v>
      </c>
      <c r="ATQ9" s="17">
        <f t="shared" si="171"/>
        <v>76.38977474657878</v>
      </c>
      <c r="ATR9" s="17">
        <f t="shared" si="171"/>
        <v>76.371563858198826</v>
      </c>
      <c r="ATS9" s="17">
        <f t="shared" si="171"/>
        <v>76.36752416486658</v>
      </c>
      <c r="ATT9" s="17">
        <f t="shared" si="171"/>
        <v>76.31416780368933</v>
      </c>
      <c r="ATU9" s="17">
        <f t="shared" si="171"/>
        <v>76.275064833805104</v>
      </c>
      <c r="ATV9" s="17">
        <f t="shared" si="171"/>
        <v>76.369534212169484</v>
      </c>
      <c r="ATW9" s="17">
        <f t="shared" si="171"/>
        <v>76.302333748246426</v>
      </c>
      <c r="ATX9" s="17">
        <f t="shared" si="171"/>
        <v>76.315926261366343</v>
      </c>
      <c r="ATY9" s="17">
        <f t="shared" si="171"/>
        <v>76.311988356551623</v>
      </c>
      <c r="ATZ9" s="17">
        <f t="shared" si="171"/>
        <v>76.329036976791016</v>
      </c>
      <c r="AUA9" s="17">
        <f t="shared" si="171"/>
        <v>76.314615328586584</v>
      </c>
      <c r="AUB9" s="17">
        <f t="shared" ref="AUB9:AWN9" si="172">((5/AUB$8)*100)</f>
        <v>76.352560462541064</v>
      </c>
      <c r="AUC9" s="17">
        <f t="shared" si="172"/>
        <v>76.36602932090139</v>
      </c>
      <c r="AUD9" s="17">
        <f t="shared" si="172"/>
        <v>76.337674092306756</v>
      </c>
      <c r="AUE9" s="17">
        <f t="shared" si="172"/>
        <v>76.3406900979748</v>
      </c>
      <c r="AUF9" s="17">
        <f t="shared" si="172"/>
        <v>76.357595269069066</v>
      </c>
      <c r="AUG9" s="17">
        <f t="shared" si="172"/>
        <v>76.374467651776072</v>
      </c>
      <c r="AUH9" s="17">
        <f t="shared" si="172"/>
        <v>76.332372023468622</v>
      </c>
      <c r="AUI9" s="17">
        <f t="shared" si="172"/>
        <v>76.387318906714199</v>
      </c>
      <c r="AUJ9" s="17">
        <f t="shared" si="172"/>
        <v>76.321101978934649</v>
      </c>
      <c r="AUK9" s="17">
        <f t="shared" si="172"/>
        <v>76.369004897388649</v>
      </c>
      <c r="AUL9" s="17">
        <f t="shared" si="172"/>
        <v>76.275447339701955</v>
      </c>
      <c r="AUM9" s="17">
        <f t="shared" si="172"/>
        <v>76.254439612793291</v>
      </c>
      <c r="AUN9" s="17">
        <f t="shared" si="172"/>
        <v>76.209485930577202</v>
      </c>
      <c r="AUO9" s="17">
        <f t="shared" si="172"/>
        <v>76.253726361344818</v>
      </c>
      <c r="AUP9" s="17">
        <f t="shared" si="172"/>
        <v>76.1883634793368</v>
      </c>
      <c r="AUQ9" s="17">
        <f t="shared" si="172"/>
        <v>76.153956422018354</v>
      </c>
      <c r="AUR9" s="17">
        <f t="shared" si="172"/>
        <v>76.153719907871007</v>
      </c>
      <c r="AUS9" s="17">
        <f t="shared" si="172"/>
        <v>76.126266671384343</v>
      </c>
      <c r="AUT9" s="17">
        <f t="shared" si="172"/>
        <v>76.1634480094732</v>
      </c>
      <c r="AUU9" s="17">
        <f t="shared" si="172"/>
        <v>76.193779875277741</v>
      </c>
      <c r="AUV9" s="17">
        <f t="shared" si="172"/>
        <v>76.224064873365521</v>
      </c>
      <c r="AUW9" s="17">
        <f t="shared" si="172"/>
        <v>76.274687247050494</v>
      </c>
      <c r="AUX9" s="17">
        <f t="shared" si="172"/>
        <v>76.311665747424229</v>
      </c>
      <c r="AUY9" s="17">
        <f t="shared" si="172"/>
        <v>76.396180262218763</v>
      </c>
      <c r="AUZ9" s="17">
        <f t="shared" si="172"/>
        <v>76.385471501105243</v>
      </c>
      <c r="AVA9" s="17">
        <f t="shared" si="172"/>
        <v>76.435883625478382</v>
      </c>
      <c r="AVB9" s="17">
        <f t="shared" si="172"/>
        <v>76.421750784143967</v>
      </c>
      <c r="AVC9" s="17">
        <f t="shared" si="172"/>
        <v>76.34336873705395</v>
      </c>
      <c r="AVD9" s="17">
        <f t="shared" si="172"/>
        <v>76.211448531485743</v>
      </c>
      <c r="AVE9" s="17">
        <f t="shared" si="172"/>
        <v>76.238047656544779</v>
      </c>
      <c r="AVF9" s="17">
        <f t="shared" si="172"/>
        <v>76.184000655270481</v>
      </c>
      <c r="AVG9" s="17">
        <f t="shared" si="172"/>
        <v>76.2407432644913</v>
      </c>
      <c r="AVH9" s="17">
        <f t="shared" si="172"/>
        <v>76.206903765359385</v>
      </c>
      <c r="AVI9" s="17">
        <f t="shared" si="172"/>
        <v>76.213301714764171</v>
      </c>
      <c r="AVJ9" s="17">
        <f t="shared" si="172"/>
        <v>76.229715132449343</v>
      </c>
      <c r="AVK9" s="17">
        <f t="shared" si="172"/>
        <v>76.276179387546122</v>
      </c>
      <c r="AVL9" s="17">
        <f t="shared" si="172"/>
        <v>76.239086475431151</v>
      </c>
      <c r="AVM9" s="17">
        <f t="shared" si="172"/>
        <v>76.262093926213964</v>
      </c>
      <c r="AVN9" s="17">
        <f t="shared" si="172"/>
        <v>76.261738673297344</v>
      </c>
      <c r="AVO9" s="17">
        <f t="shared" si="172"/>
        <v>76.181616974868078</v>
      </c>
      <c r="AVP9" s="17">
        <f t="shared" si="172"/>
        <v>76.244417819409648</v>
      </c>
      <c r="AVQ9" s="17">
        <f t="shared" si="172"/>
        <v>76.254039461987716</v>
      </c>
      <c r="AVR9" s="17">
        <f t="shared" si="172"/>
        <v>76.233809877224445</v>
      </c>
      <c r="AVS9" s="17">
        <f t="shared" si="172"/>
        <v>76.170659755899933</v>
      </c>
      <c r="AVT9" s="17">
        <f t="shared" si="172"/>
        <v>76.236474964167115</v>
      </c>
      <c r="AVU9" s="17">
        <f t="shared" si="172"/>
        <v>76.222945185308376</v>
      </c>
      <c r="AVV9" s="17">
        <f t="shared" si="172"/>
        <v>76.272129955935313</v>
      </c>
      <c r="AVW9" s="17">
        <f t="shared" si="172"/>
        <v>76.324568757532944</v>
      </c>
      <c r="AVX9" s="17">
        <f t="shared" si="172"/>
        <v>76.301062736410159</v>
      </c>
      <c r="AVY9" s="17">
        <f t="shared" si="172"/>
        <v>76.32372448724098</v>
      </c>
      <c r="AVZ9" s="17">
        <f t="shared" si="172"/>
        <v>76.333178366918489</v>
      </c>
      <c r="AWA9" s="17">
        <f t="shared" si="172"/>
        <v>76.362352636173213</v>
      </c>
      <c r="AWB9" s="17">
        <f t="shared" si="172"/>
        <v>76.375039156199605</v>
      </c>
      <c r="AWC9" s="17">
        <f t="shared" si="172"/>
        <v>76.364709597392874</v>
      </c>
      <c r="AWD9" s="17">
        <f t="shared" si="172"/>
        <v>76.383928134151134</v>
      </c>
      <c r="AWE9" s="17">
        <f t="shared" si="172"/>
        <v>76.383441443080613</v>
      </c>
      <c r="AWF9" s="17">
        <f t="shared" si="172"/>
        <v>76.389504510753085</v>
      </c>
      <c r="AWG9" s="17">
        <f t="shared" si="172"/>
        <v>76.392283625707961</v>
      </c>
      <c r="AWH9" s="17">
        <f t="shared" si="172"/>
        <v>76.421207681007445</v>
      </c>
      <c r="AWI9" s="17">
        <f t="shared" si="172"/>
        <v>76.417414827918918</v>
      </c>
      <c r="AWJ9" s="17">
        <f t="shared" si="172"/>
        <v>76.446265108814217</v>
      </c>
      <c r="AWK9" s="17">
        <f t="shared" si="172"/>
        <v>76.396825575474438</v>
      </c>
      <c r="AWL9" s="17">
        <f t="shared" si="172"/>
        <v>76.435387556387084</v>
      </c>
      <c r="AWM9" s="17">
        <f t="shared" si="172"/>
        <v>76.451115386016838</v>
      </c>
      <c r="AWN9" s="17">
        <f t="shared" si="172"/>
        <v>76.424561476886367</v>
      </c>
      <c r="AWO9" s="17">
        <f t="shared" ref="AWO9:AYS9" si="173">((5/AWO$8)*100)</f>
        <v>76.427279443609407</v>
      </c>
      <c r="AWP9" s="17">
        <f t="shared" si="173"/>
        <v>76.442960570534282</v>
      </c>
      <c r="AWQ9" s="17">
        <f t="shared" si="173"/>
        <v>76.452132828037279</v>
      </c>
      <c r="AWR9" s="17">
        <f t="shared" si="173"/>
        <v>76.438633490550316</v>
      </c>
      <c r="AWS9" s="17">
        <f t="shared" si="173"/>
        <v>76.48012734956427</v>
      </c>
      <c r="AWT9" s="17">
        <f t="shared" si="173"/>
        <v>76.473078518838989</v>
      </c>
      <c r="AWU9" s="17">
        <f t="shared" si="173"/>
        <v>76.488641183510595</v>
      </c>
      <c r="AWV9" s="17">
        <f t="shared" si="173"/>
        <v>76.510629410011106</v>
      </c>
      <c r="AWW9" s="17">
        <f t="shared" si="173"/>
        <v>76.548711958325129</v>
      </c>
      <c r="AWX9" s="17">
        <f t="shared" si="173"/>
        <v>76.473992028196264</v>
      </c>
      <c r="AWY9" s="17">
        <f t="shared" si="173"/>
        <v>76.521645534919941</v>
      </c>
      <c r="AWZ9" s="17">
        <f t="shared" si="173"/>
        <v>76.521016904676983</v>
      </c>
      <c r="AXA9" s="17">
        <f t="shared" si="173"/>
        <v>76.510760332392266</v>
      </c>
      <c r="AXB9" s="17">
        <f t="shared" si="173"/>
        <v>76.519763806202008</v>
      </c>
      <c r="AXC9" s="17">
        <f t="shared" si="173"/>
        <v>76.455131879247062</v>
      </c>
      <c r="AXD9" s="17">
        <f t="shared" si="173"/>
        <v>76.483337916761059</v>
      </c>
      <c r="AXE9" s="17">
        <f t="shared" si="173"/>
        <v>76.403012881080883</v>
      </c>
      <c r="AXF9" s="17">
        <f t="shared" si="173"/>
        <v>76.48855315854351</v>
      </c>
      <c r="AXG9" s="17">
        <f t="shared" si="173"/>
        <v>76.494339418883001</v>
      </c>
      <c r="AXH9" s="17">
        <f t="shared" si="173"/>
        <v>76.531967627727198</v>
      </c>
      <c r="AXI9" s="17">
        <f t="shared" si="173"/>
        <v>76.515421184126055</v>
      </c>
      <c r="AXJ9" s="17">
        <f t="shared" si="173"/>
        <v>76.540241468256241</v>
      </c>
      <c r="AXK9" s="17">
        <f t="shared" si="173"/>
        <v>76.523718368813121</v>
      </c>
      <c r="AXL9" s="17">
        <f t="shared" si="173"/>
        <v>76.570707448629179</v>
      </c>
      <c r="AXM9" s="17">
        <f t="shared" si="173"/>
        <v>76.56686126581927</v>
      </c>
      <c r="AXN9" s="17">
        <f t="shared" si="173"/>
        <v>76.651847309520164</v>
      </c>
      <c r="AXO9" s="17">
        <f t="shared" si="173"/>
        <v>76.62888515067921</v>
      </c>
      <c r="AXP9" s="17">
        <f t="shared" si="173"/>
        <v>76.640820438742665</v>
      </c>
      <c r="AXQ9" s="17">
        <f t="shared" si="173"/>
        <v>76.605276782789687</v>
      </c>
      <c r="AXR9" s="17">
        <f t="shared" si="173"/>
        <v>76.680444934773746</v>
      </c>
      <c r="AXS9" s="17">
        <f t="shared" si="173"/>
        <v>76.685978339921732</v>
      </c>
      <c r="AXT9" s="17">
        <f t="shared" si="173"/>
        <v>76.71361825754451</v>
      </c>
      <c r="AXU9" s="17">
        <f t="shared" si="173"/>
        <v>76.72542473120582</v>
      </c>
      <c r="AXV9" s="17">
        <f t="shared" si="173"/>
        <v>76.721434093821188</v>
      </c>
      <c r="AXW9" s="17">
        <f t="shared" si="173"/>
        <v>76.739513882293082</v>
      </c>
      <c r="AXX9" s="17">
        <f t="shared" si="173"/>
        <v>76.773319998587709</v>
      </c>
      <c r="AXY9" s="17">
        <f t="shared" si="173"/>
        <v>76.750401135643543</v>
      </c>
      <c r="AXZ9" s="17">
        <f t="shared" si="173"/>
        <v>76.790425733660001</v>
      </c>
      <c r="AYA9" s="17">
        <f t="shared" si="173"/>
        <v>76.780094932284541</v>
      </c>
      <c r="AYB9" s="17">
        <f t="shared" si="173"/>
        <v>76.794902977532217</v>
      </c>
      <c r="AYC9" s="17">
        <f t="shared" si="173"/>
        <v>76.815962030033404</v>
      </c>
      <c r="AYD9" s="17">
        <f t="shared" si="173"/>
        <v>76.83698783983219</v>
      </c>
      <c r="AYE9" s="17">
        <f t="shared" si="173"/>
        <v>76.873660831449854</v>
      </c>
      <c r="AYF9" s="17">
        <f t="shared" si="173"/>
        <v>76.860141764985968</v>
      </c>
      <c r="AYG9" s="17">
        <f t="shared" si="173"/>
        <v>76.893602712910564</v>
      </c>
      <c r="AYH9" s="17">
        <f t="shared" si="173"/>
        <v>76.920760221303865</v>
      </c>
      <c r="AYI9" s="17">
        <f t="shared" si="173"/>
        <v>76.925979318133315</v>
      </c>
      <c r="AYJ9" s="17">
        <f t="shared" si="173"/>
        <v>76.946815368757257</v>
      </c>
      <c r="AYK9" s="17">
        <f t="shared" si="173"/>
        <v>76.983244288298025</v>
      </c>
      <c r="AYL9" s="17">
        <f t="shared" si="173"/>
        <v>76.960293840727388</v>
      </c>
      <c r="AYM9" s="17">
        <f t="shared" si="173"/>
        <v>76.98728494209746</v>
      </c>
      <c r="AYN9" s="17">
        <f t="shared" si="173"/>
        <v>76.979951053378741</v>
      </c>
      <c r="AYO9" s="17">
        <f t="shared" si="173"/>
        <v>77.022454310797912</v>
      </c>
      <c r="AYP9" s="17">
        <f t="shared" si="173"/>
        <v>76.99953574046971</v>
      </c>
      <c r="AYQ9" s="17">
        <f t="shared" si="173"/>
        <v>77.051284494987797</v>
      </c>
      <c r="AYR9" s="17">
        <f t="shared" si="173"/>
        <v>77.056335039331003</v>
      </c>
      <c r="AYS9" s="17">
        <f t="shared" si="173"/>
        <v>77.09244706909999</v>
      </c>
      <c r="AYT9" s="93"/>
      <c r="AYU9" s="94"/>
      <c r="AYV9" s="94"/>
    </row>
    <row r="10" spans="1:1350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89">
        <f>((SUM($AHF$4:ATP$4)-((ATP$1-1000)*0.167))/(ATP$1-1000))</f>
        <v>6.6557554179566569</v>
      </c>
      <c r="ATQ10" s="30">
        <f>((SUM($AHF$4:ATQ$4)-((ATQ$1-1000)*0.167))/(ATQ$1-1000))</f>
        <v>6.6647901234567897</v>
      </c>
      <c r="ATR10" s="17">
        <f>((SUM($AHF$4:ATR$4)-((ATR$1-1000)*0.167))/(ATR$1-1000))</f>
        <v>6.6683846153846149</v>
      </c>
      <c r="ATS10" s="23">
        <f>((SUM($AHF$4:ATS$4)-((ATS$1-1000)*0.167))/(ATS$1-1000))</f>
        <v>6.6688895705521469</v>
      </c>
      <c r="ATT10" s="54">
        <f>((SUM($AHF$4:ATT$4)-((ATT$1-1000)*0.167))/(ATT$1-1000))</f>
        <v>6.680094801223242</v>
      </c>
      <c r="ATU10" s="59">
        <f>((SUM($AHF$4:ATU$4)-((ATU$1-1000)*0.167))/(ATU$1-1000))</f>
        <v>6.6881829268292687</v>
      </c>
      <c r="ATV10" s="64">
        <f>((SUM($AHF$4:ATV$4)-((ATV$1-1000)*0.167))/(ATV$1-1000))</f>
        <v>6.6673465045592701</v>
      </c>
      <c r="ATW10" s="69">
        <f>((SUM($AHF$4:ATW$4)-((ATW$1-1000)*0.167))/(ATW$1-1000))</f>
        <v>6.6814848484848479</v>
      </c>
      <c r="ATX10" s="73">
        <f>((SUM($AHF$4:ATX$4)-((ATX$1-1000)*0.167))/(ATX$1-1000))</f>
        <v>6.6781661631419942</v>
      </c>
      <c r="ATY10" s="77">
        <f>((SUM($AHF$4:ATY$4)-((ATY$1-1000)*0.167))/(ATY$1-1000))</f>
        <v>6.6786325301204821</v>
      </c>
      <c r="ATZ10" s="81">
        <f>((SUM($AHF$4:ATZ$4)-((ATZ$1-1000)*0.167))/(ATZ$1-1000))</f>
        <v>6.6745915915915921</v>
      </c>
      <c r="AUA10" s="85">
        <f>((SUM($AHF$4:AUA$4)-((AUA$1-1000)*0.167))/(AUA$1-1000))</f>
        <v>6.6773113772455099</v>
      </c>
      <c r="AUB10" s="41">
        <f>((SUM($AHF$4:AUB$4)-((AUB$1-1000)*0.167))/(AUB$1-1000))</f>
        <v>6.668820895522388</v>
      </c>
      <c r="AUC10" s="13">
        <f>((SUM($AHF$4:AUC$4)-((AUC$1-1000)*0.167))/(AUC$1-1000))</f>
        <v>6.6655892857142858</v>
      </c>
      <c r="AUD10" s="13">
        <f>((SUM($AHF$4:AUD$4)-((AUD$1-1000)*0.167))/(AUD$1-1000))</f>
        <v>6.6712789317507415</v>
      </c>
      <c r="AUE10" s="13">
        <f>((SUM($AHF$4:AUE$4)-((AUE$1-1000)*0.167))/(AUE$1-1000))</f>
        <v>6.6702781065088761</v>
      </c>
      <c r="AUF10" s="13">
        <f>((SUM($AHF$4:AUF$4)-((AUF$1-1000)*0.167))/(AUF$1-1000))</f>
        <v>6.6663333333333341</v>
      </c>
      <c r="AUG10" s="13">
        <f>((SUM($AHF$4:AUG$4)-((AUG$1-1000)*0.167))/(AUG$1-1000))</f>
        <v>6.6624117647058814</v>
      </c>
      <c r="AUH10" s="13">
        <f>((SUM($AHF$4:AUH$4)-((AUH$1-1000)*0.167))/(AUH$1-1000))</f>
        <v>6.670976539589442</v>
      </c>
      <c r="AUI10" s="13">
        <f>((SUM($AHF$4:AUI$4)-((AUI$1-1000)*0.167))/(AUI$1-1000))</f>
        <v>6.6590233918128652</v>
      </c>
      <c r="AUJ10" s="13">
        <f>((SUM($AHF$4:AUJ$4)-((AUJ$1-1000)*0.167))/(AUJ$1-1000))</f>
        <v>6.6726501457725949</v>
      </c>
      <c r="AUK10" s="13">
        <f>((SUM($AHF$4:AUK$4)-((AUK$1-1000)*0.167))/(AUK$1-1000))</f>
        <v>6.6622151162790706</v>
      </c>
      <c r="AUL10" s="13">
        <f>((SUM($AHF$4:AUL$4)-((AUL$1-1000)*0.167))/(AUL$1-1000))</f>
        <v>6.681550724637682</v>
      </c>
      <c r="AUM10" s="13">
        <f>((SUM($AHF$4:AUM$4)-((AUM$1-1000)*0.167))/(AUM$1-1000))</f>
        <v>6.6856011560693638</v>
      </c>
      <c r="AUN10" s="13">
        <f>((SUM($AHF$4:AUN$4)-((AUN$1-1000)*0.167))/(AUN$1-1000))</f>
        <v>6.6946714697406335</v>
      </c>
      <c r="AUO10" s="13">
        <f>((SUM($AHF$4:AUO$4)-((AUO$1-1000)*0.167))/(AUO$1-1000))</f>
        <v>6.6850114942528736</v>
      </c>
      <c r="AUP10" s="13">
        <f>((SUM($AHF$4:AUP$4)-((AUP$1-1000)*0.167))/(AUP$1-1000))</f>
        <v>6.6983295128939835</v>
      </c>
      <c r="AUQ10" s="13">
        <f>((SUM($AHF$4:AUQ$4)-((AUQ$1-1000)*0.167))/(AUQ$1-1000))</f>
        <v>6.7051428571428575</v>
      </c>
      <c r="AUR10" s="13">
        <f>((SUM($AHF$4:AUR$4)-((AUR$1-1000)*0.167))/(AUR$1-1000))</f>
        <v>6.7047948717948715</v>
      </c>
      <c r="AUS10" s="13">
        <f>((SUM($AHF$4:AUS$4)-((AUS$1-1000)*0.167))/(AUS$1-1000))</f>
        <v>6.7101306818181818</v>
      </c>
      <c r="AUT10" s="13">
        <f>((SUM($AHF$4:AUT$4)-((AUT$1-1000)*0.167))/(AUT$1-1000))</f>
        <v>6.7019801699716712</v>
      </c>
      <c r="AUU10" s="13">
        <f>((SUM($AHF$4:AUU$4)-((AUU$1-1000)*0.167))/(AUU$1-1000))</f>
        <v>6.6952881355932208</v>
      </c>
      <c r="AUV10" s="13">
        <f>((SUM($AHF$4:AUV$4)-((AUV$1-1000)*0.167))/(AUV$1-1000))</f>
        <v>6.6886338028169021</v>
      </c>
      <c r="AUW10" s="13">
        <f>((SUM($AHF$4:AUW$4)-((AUW$1-1000)*0.167))/(AUW$1-1000))</f>
        <v>6.6778033707865161</v>
      </c>
      <c r="AUX10" s="13">
        <f>((SUM($AHF$4:AUX$4)-((AUX$1-1000)*0.167))/(AUX$1-1000))</f>
        <v>6.6698347338935573</v>
      </c>
      <c r="AUY10" s="13">
        <f>((SUM($AHF$4:AUY$4)-((AUY$1-1000)*0.167))/(AUY$1-1000))</f>
        <v>6.6521340782122902</v>
      </c>
      <c r="AUZ10" s="13">
        <f>((SUM($AHF$4:AUZ$4)-((AUZ$1-1000)*0.167))/(AUZ$1-1000))</f>
        <v>6.6540306406685241</v>
      </c>
      <c r="AVA10" s="13">
        <f>((SUM($AHF$4:AVA$4)-((AVA$1-1000)*0.167))/(AVA$1-1000))</f>
        <v>6.643416666666667</v>
      </c>
      <c r="AVB10" s="13">
        <f>((SUM($AHF$4:AVB$4)-((AVB$1-1000)*0.167))/(AVB$1-1000))</f>
        <v>6.646019390581718</v>
      </c>
      <c r="AVC10" s="13">
        <f>((SUM($AHF$4:AVC$4)-((AVC$1-1000)*0.167))/(AVC$1-1000))</f>
        <v>6.661729281767955</v>
      </c>
      <c r="AVD10" s="13">
        <f>((SUM($AHF$4:AVD$4)-((AVD$1-1000)*0.167))/(AVD$1-1000))</f>
        <v>6.6883719008264464</v>
      </c>
      <c r="AVE10" s="13">
        <f>((SUM($AHF$4:AVE$4)-((AVE$1-1000)*0.167))/(AVE$1-1000))</f>
        <v>6.6825879120879117</v>
      </c>
      <c r="AVF10" s="13">
        <f>((SUM($AHF$4:AVF$4)-((AVF$1-1000)*0.167))/(AVF$1-1000))</f>
        <v>6.6932739726027402</v>
      </c>
      <c r="AVG10" s="13">
        <f>((SUM($AHF$4:AVG$4)-((AVG$1-1000)*0.167))/(AVG$1-1000))</f>
        <v>6.6813606557377057</v>
      </c>
      <c r="AVH10" s="13">
        <f>((SUM($AHF$4:AVH$4)-((AVH$1-1000)*0.167))/(AVH$1-1000))</f>
        <v>6.6879046321525877</v>
      </c>
      <c r="AVI10" s="13">
        <f>((SUM($AHF$4:AVI$4)-((AVI$1-1000)*0.167))/(AVI$1-1000))</f>
        <v>6.686260869565217</v>
      </c>
      <c r="AVJ10" s="13">
        <f>((SUM($AHF$4:AVJ$4)-((AVJ$1-1000)*0.167))/(AVJ$1-1000))</f>
        <v>6.6825934959349595</v>
      </c>
      <c r="AVK10" s="13">
        <f>((SUM($AHF$4:AVK$4)-((AVK$1-1000)*0.167))/(AVK$1-1000))</f>
        <v>6.6728648648648647</v>
      </c>
      <c r="AVL10" s="13">
        <f>((SUM($AHF$4:AVL$4)-((AVL$1-1000)*0.167))/(AVL$1-1000))</f>
        <v>6.6800350404312674</v>
      </c>
      <c r="AVM10" s="13">
        <f>((SUM($AHF$4:AVM$4)-((AVM$1-1000)*0.167))/(AVM$1-1000))</f>
        <v>6.6750698924731191</v>
      </c>
      <c r="AVN10" s="13">
        <f>((SUM($AHF$4:AVN$4)-((AVN$1-1000)*0.167))/(AVN$1-1000))</f>
        <v>6.6748230563002675</v>
      </c>
      <c r="AVO10" s="13">
        <f>((SUM($AHF$4:AVO$4)-((AVO$1-1000)*0.167))/(AVO$1-1000))</f>
        <v>6.690620320855615</v>
      </c>
      <c r="AVP10" s="13">
        <f>((SUM($AHF$4:AVP$4)-((AVP$1-1000)*0.167))/(AVP$1-1000))</f>
        <v>6.6776666666666671</v>
      </c>
      <c r="AVQ10" s="13">
        <f>((SUM($AHF$4:AVQ$4)-((AVQ$1-1000)*0.167))/(AVQ$1-1000))</f>
        <v>6.6754202127659577</v>
      </c>
      <c r="AVR10" s="13">
        <f>((SUM($AHF$4:AVR$4)-((AVR$1-1000)*0.167))/(AVR$1-1000))</f>
        <v>6.6791538461538469</v>
      </c>
      <c r="AVS10" s="13">
        <f>((SUM($AHF$4:AVS$4)-((AVS$1-1000)*0.167))/(AVS$1-1000))</f>
        <v>6.6914656084656077</v>
      </c>
      <c r="AVT10" s="13">
        <f>((SUM($AHF$4:AVT$4)-((AVT$1-1000)*0.167))/(AVT$1-1000))</f>
        <v>6.6779868073878621</v>
      </c>
      <c r="AVU10" s="13">
        <f>((SUM($AHF$4:AVU$4)-((AVU$1-1000)*0.167))/(AVU$1-1000))</f>
        <v>6.6803684210526315</v>
      </c>
      <c r="AVV10" s="13">
        <f>((SUM($AHF$4:AVV$4)-((AVV$1-1000)*0.167))/(AVV$1-1000))</f>
        <v>6.670270341207349</v>
      </c>
      <c r="AVW10" s="13">
        <f>((SUM($AHF$4:AVW$4)-((AVW$1-1000)*0.167))/(AVW$1-1000))</f>
        <v>6.6595706806282724</v>
      </c>
      <c r="AVX10" s="13">
        <f>((SUM($AHF$4:AVX$4)-((AVX$1-1000)*0.167))/(AVX$1-1000))</f>
        <v>6.6639399477806798</v>
      </c>
      <c r="AVY10" s="13">
        <f>((SUM($AHF$4:AVY$4)-((AVY$1-1000)*0.167))/(AVY$1-1000))</f>
        <v>6.6591718749999993</v>
      </c>
      <c r="AVZ10" s="13">
        <f>((SUM($AHF$4:AVZ$4)-((AVZ$1-1000)*0.167))/(AVZ$1-1000))</f>
        <v>6.6570259740259736</v>
      </c>
      <c r="AWA10" s="13">
        <f>((SUM($AHF$4:AWA$4)-((AWA$1-1000)*0.167))/(AWA$1-1000))</f>
        <v>6.6510051813471502</v>
      </c>
      <c r="AWB10" s="13">
        <f>((SUM($AHF$4:AWB$4)-((AWB$1-1000)*0.167))/(AWB$1-1000))</f>
        <v>6.6482454780361762</v>
      </c>
      <c r="AWC10" s="13">
        <f>((SUM($AHF$4:AWC$4)-((AWC$1-1000)*0.167))/(AWC$1-1000))</f>
        <v>6.6500103092783514</v>
      </c>
      <c r="AWD10" s="13">
        <f>((SUM($AHF$4:AWD$4)-((AWD$1-1000)*0.167))/(AWD$1-1000))</f>
        <v>6.6459820051413878</v>
      </c>
      <c r="AWE10" s="13">
        <f>((SUM($AHF$4:AWE$4)-((AWE$1-1000)*0.167))/(AWE$1-1000))</f>
        <v>6.6458205128205128</v>
      </c>
      <c r="AWF10" s="13">
        <f>((SUM($AHF$4:AWF$4)-((AWF$1-1000)*0.167))/(AWF$1-1000))</f>
        <v>6.6443810741687983</v>
      </c>
      <c r="AWG10" s="13">
        <f>((SUM($AHF$4:AWG$4)-((AWG$1-1000)*0.167))/(AWG$1-1000))</f>
        <v>6.6435867346938773</v>
      </c>
      <c r="AWH10" s="13">
        <f>((SUM($AHF$4:AWH$4)-((AWH$1-1000)*0.167))/(AWH$1-1000))</f>
        <v>6.6377073791348602</v>
      </c>
      <c r="AWI10" s="13">
        <f>((SUM($AHF$4:AWI$4)-((AWI$1-1000)*0.167))/(AWI$1-1000))</f>
        <v>6.6382030456852794</v>
      </c>
      <c r="AWJ10" s="13">
        <f>((SUM($AHF$4:AWJ$4)-((AWJ$1-1000)*0.167))/(AWJ$1-1000))</f>
        <v>6.6323670886075945</v>
      </c>
      <c r="AWK10" s="13">
        <f>((SUM($AHF$4:AWK$4)-((AWK$1-1000)*0.167))/(AWK$1-1000))</f>
        <v>6.6417121212121213</v>
      </c>
      <c r="AWL10" s="13">
        <f>((SUM($AHF$4:AWL$4)-((AWL$1-1000)*0.167))/(AWL$1-1000))</f>
        <v>6.6340075566750629</v>
      </c>
      <c r="AWM10" s="13">
        <f>((SUM($AHF$4:AWM$4)-((AWM$1-1000)*0.167))/(AWM$1-1000))</f>
        <v>6.6307386934673369</v>
      </c>
      <c r="AWN10" s="13">
        <f>((SUM($AHF$4:AWN$4)-((AWN$1-1000)*0.167))/(AWN$1-1000))</f>
        <v>6.6356315789473692</v>
      </c>
      <c r="AWO10" s="13">
        <f>((SUM($AHF$4:AWO$4)-((AWO$1-1000)*0.167))/(AWO$1-1000))</f>
        <v>6.6348749999999992</v>
      </c>
      <c r="AWP10" s="13">
        <f>((SUM($AHF$4:AWP$4)-((AWP$1-1000)*0.167))/(AWP$1-1000))</f>
        <v>6.6316284289276801</v>
      </c>
      <c r="AWQ10" s="13">
        <f>((SUM($AHF$4:AWQ$4)-((AWQ$1-1000)*0.167))/(AWQ$1-1000))</f>
        <v>6.6296417910447758</v>
      </c>
      <c r="AWR10" s="13">
        <f>((SUM($AHF$4:AWR$4)-((AWR$1-1000)*0.167))/(AWR$1-1000))</f>
        <v>6.6320074441687344</v>
      </c>
      <c r="AWS10" s="13">
        <f>((SUM($AHF$4:AWS$4)-((AWS$1-1000)*0.167))/(AWS$1-1000))</f>
        <v>6.6238415841584164</v>
      </c>
      <c r="AWT10" s="13">
        <f>((SUM($AHF$4:AWT$4)-((AWT$1-1000)*0.167))/(AWT$1-1000))</f>
        <v>6.6249753086419751</v>
      </c>
      <c r="AWU10" s="13">
        <f>((SUM($AHF$4:AWU$4)-((AWU$1-1000)*0.167))/(AWU$1-1000))</f>
        <v>6.6217931034482751</v>
      </c>
      <c r="AWV10" s="13">
        <f>((SUM($AHF$4:AWV$4)-((AWV$1-1000)*0.167))/(AWV$1-1000))</f>
        <v>6.6173980343980343</v>
      </c>
      <c r="AWW10" s="13">
        <f>((SUM($AHF$4:AWW$4)-((AWW$1-1000)*0.167))/(AWW$1-1000))</f>
        <v>6.6099607843137251</v>
      </c>
      <c r="AWX10" s="13">
        <f>((SUM($AHF$4:AWX$4)-((AWX$1-1000)*0.167))/(AWX$1-1000))</f>
        <v>6.6239535452322738</v>
      </c>
      <c r="AWY10" s="13">
        <f>((SUM($AHF$4:AWY$4)-((AWY$1-1000)*0.167))/(AWY$1-1000))</f>
        <v>6.6147073170731714</v>
      </c>
      <c r="AWZ10" s="13">
        <f>((SUM($AHF$4:AWZ$4)-((AWZ$1-1000)*0.167))/(AWZ$1-1000))</f>
        <v>6.6146301703163015</v>
      </c>
      <c r="AXA10" s="13">
        <f>((SUM($AHF$4:AXA$4)-((AXA$1-1000)*0.167))/(AXA$1-1000))</f>
        <v>6.6163737864077667</v>
      </c>
      <c r="AXB10" s="13">
        <f>((SUM($AHF$4:AXB$4)-((AXB$1-1000)*0.167))/(AXB$1-1000))</f>
        <v>6.6144769975786923</v>
      </c>
      <c r="AXC10" s="13">
        <f>((SUM($AHF$4:AXC$4)-((AXC$1-1000)*0.167))/(AXC$1-1000))</f>
        <v>6.6264782608695656</v>
      </c>
      <c r="AXD10" s="13">
        <f>((SUM($AHF$4:AXD$4)-((AXD$1-1000)*0.167))/(AXD$1-1000))</f>
        <v>6.6209518072289164</v>
      </c>
      <c r="AXE10" s="13">
        <f>((SUM($AHF$4:AXE$4)-((AXE$1-1000)*0.167))/(AXE$1-1000))</f>
        <v>6.6358846153846152</v>
      </c>
      <c r="AXF10" s="13">
        <f>((SUM($AHF$4:AXF$4)-((AXF$1-1000)*0.167))/(AXF$1-1000))</f>
        <v>6.6195707434052755</v>
      </c>
      <c r="AXG10" s="13">
        <f>((SUM($AHF$4:AXG$4)-((AXG$1-1000)*0.167))/(AXG$1-1000))</f>
        <v>6.6182870813397132</v>
      </c>
      <c r="AXH10" s="13">
        <f>((SUM($AHF$4:AXH$4)-((AXH$1-1000)*0.167))/(AXH$1-1000))</f>
        <v>6.6110429594272073</v>
      </c>
      <c r="AXI10" s="13">
        <f>((SUM($AHF$4:AXI$4)-((AXI$1-1000)*0.167))/(AXI$1-1000))</f>
        <v>6.613952380952381</v>
      </c>
      <c r="AXJ10" s="13">
        <f>((SUM($AHF$4:AXJ$4)-((AXJ$1-1000)*0.167))/(AXJ$1-1000))</f>
        <v>6.6091282660332551</v>
      </c>
      <c r="AXK10" s="13">
        <f>((SUM($AHF$4:AXK$4)-((AXK$1-1000)*0.167))/(AXK$1-1000))</f>
        <v>6.6120284360189574</v>
      </c>
      <c r="AXL10" s="13">
        <f>((SUM($AHF$4:AXL$4)-((AXL$1-1000)*0.167))/(AXL$1-1000))</f>
        <v>6.6030945626477537</v>
      </c>
      <c r="AXM10" s="13">
        <f>((SUM($AHF$4:AXM$4)-((AXM$1-1000)*0.167))/(AXM$1-1000))</f>
        <v>6.6036367924528303</v>
      </c>
      <c r="AXN10" s="13">
        <f>((SUM($AHF$4:AXN$4)-((AXN$1-1000)*0.167))/(AXN$1-1000))</f>
        <v>6.5877058823529415</v>
      </c>
      <c r="AXO10" s="13">
        <f>((SUM($AHF$4:AXO$4)-((AXO$1-1000)*0.167))/(AXO$1-1000))</f>
        <v>6.5918028169014091</v>
      </c>
      <c r="AXP10" s="13">
        <f>((SUM($AHF$4:AXP$4)-((AXP$1-1000)*0.167))/(AXP$1-1000))</f>
        <v>6.5894402810304449</v>
      </c>
      <c r="AXQ10" s="13">
        <f>((SUM($AHF$4:AXQ$4)-((AXQ$1-1000)*0.167))/(AXQ$1-1000))</f>
        <v>6.5958504672897194</v>
      </c>
      <c r="AXR10" s="13">
        <f>((SUM($AHF$4:AXR$4)-((AXR$1-1000)*0.167))/(AXR$1-1000))</f>
        <v>6.5818344988344988</v>
      </c>
      <c r="AXS10" s="13">
        <f>((SUM($AHF$4:AXS$4)-((AXS$1-1000)*0.167))/(AXS$1-1000))</f>
        <v>6.5806744186046515</v>
      </c>
      <c r="AXT10" s="13">
        <f>((SUM($AHF$4:AXT$4)-((AXT$1-1000)*0.167))/(AXT$1-1000))</f>
        <v>6.5754593967517403</v>
      </c>
      <c r="AXU10" s="13">
        <f>((SUM($AHF$4:AXU$4)-((AXU$1-1000)*0.167))/(AXU$1-1000))</f>
        <v>6.5731620370370365</v>
      </c>
      <c r="AXV10" s="13">
        <f>((SUM($AHF$4:AXV$4)-((AXV$1-1000)*0.167))/(AXV$1-1000))</f>
        <v>6.5737621247113163</v>
      </c>
      <c r="AXW10" s="13">
        <f>((SUM($AHF$4:AXW$4)-((AXW$1-1000)*0.167))/(AXW$1-1000))</f>
        <v>6.5703271889400918</v>
      </c>
      <c r="AXX10" s="13">
        <f>((SUM($AHF$4:AXX$4)-((AXX$1-1000)*0.167))/(AXX$1-1000))</f>
        <v>6.564034482758621</v>
      </c>
      <c r="AXY10" s="13">
        <f>((SUM($AHF$4:AXY$4)-((AXY$1-1000)*0.167))/(AXY$1-1000))</f>
        <v>6.5680917431192665</v>
      </c>
      <c r="AXZ10" s="13">
        <f>((SUM($AHF$4:AXZ$4)-((AXZ$1-1000)*0.167))/(AXZ$1-1000))</f>
        <v>6.560688787185355</v>
      </c>
      <c r="AYA10" s="13">
        <f>((SUM($AHF$4:AYA$4)-((AYA$1-1000)*0.167))/(AYA$1-1000))</f>
        <v>6.5624520547945204</v>
      </c>
      <c r="AYB10" s="13">
        <f>((SUM($AHF$4:AYB$4)-((AYB$1-1000)*0.167))/(AYB$1-1000))</f>
        <v>6.5596514806378128</v>
      </c>
      <c r="AYC10" s="13">
        <f>((SUM($AHF$4:AYC$4)-((AYC$1-1000)*0.167))/(AYC$1-1000))</f>
        <v>6.5557272727272728</v>
      </c>
      <c r="AYD10" s="13">
        <f>((SUM($AHF$4:AYD$4)-((AYD$1-1000)*0.167))/(AYD$1-1000))</f>
        <v>6.5518208616780047</v>
      </c>
      <c r="AYE10" s="13">
        <f>((SUM($AHF$4:AYE$4)-((AYE$1-1000)*0.167))/(AYE$1-1000))</f>
        <v>6.5451040723981908</v>
      </c>
      <c r="AYF10" s="13">
        <f>((SUM($AHF$4:AYF$4)-((AYF$1-1000)*0.167))/(AYF$1-1000))</f>
        <v>6.5474469525959362</v>
      </c>
      <c r="AYG10" s="13">
        <f>((SUM($AHF$4:AYG$4)-((AYG$1-1000)*0.167))/(AYG$1-1000))</f>
        <v>6.5413333333333332</v>
      </c>
      <c r="AYH10" s="13">
        <f>((SUM($AHF$4:AYH$4)-((AYH$1-1000)*0.167))/(AYH$1-1000))</f>
        <v>6.5363707865168541</v>
      </c>
      <c r="AYI10" s="13">
        <f>((SUM($AHF$4:AYI$4)-((AYI$1-1000)*0.167))/(AYI$1-1000))</f>
        <v>6.5353542600896866</v>
      </c>
      <c r="AYJ10" s="13">
        <f>((SUM($AHF$4:AYJ$4)-((AYJ$1-1000)*0.167))/(AYJ$1-1000))</f>
        <v>6.5315458612975394</v>
      </c>
      <c r="AYK10" s="13">
        <f>((SUM($AHF$4:AYK$4)-((AYK$1-1000)*0.167))/(AYK$1-1000))</f>
        <v>6.5249642857142858</v>
      </c>
      <c r="AYL10" s="13">
        <f>((SUM($AHF$4:AYL$4)-((AYL$1-1000)*0.167))/(AYL$1-1000))</f>
        <v>6.5289910913140305</v>
      </c>
      <c r="AYM10" s="13">
        <f>((SUM($AHF$4:AYM$4)-((AYM$1-1000)*0.167))/(AYM$1-1000))</f>
        <v>6.524111111111111</v>
      </c>
      <c r="AYN10" s="13">
        <f>((SUM($AHF$4:AYN$4)-((AYN$1-1000)*0.167))/(AYN$1-1000))</f>
        <v>6.5253503325942352</v>
      </c>
      <c r="AYO10" s="13">
        <f>((SUM($AHF$4:AYO$4)-((AYO$1-1000)*0.167))/(AYO$1-1000))</f>
        <v>6.5177345132743367</v>
      </c>
      <c r="AYP10" s="13">
        <f>((SUM($AHF$4:AYP$4)-((AYP$1-1000)*0.167))/(AYP$1-1000))</f>
        <v>6.5217417218543048</v>
      </c>
      <c r="AYQ10" s="13">
        <f>((SUM($AHF$4:AYQ$4)-((AYQ$1-1000)*0.167))/(AYQ$1-1000))</f>
        <v>6.5125154185022023</v>
      </c>
      <c r="AYR10" s="13">
        <f>((SUM($AHF$4:AYR$4)-((AYR$1-1000)*0.167))/(AYR$1-1000))</f>
        <v>6.5115714285714281</v>
      </c>
      <c r="AYS10" s="13">
        <f>((SUM($AHF$4:AYS$4)-((AYS$1-1000)*0.167))/(AYS$1-1000))</f>
        <v>6.5051491228070173</v>
      </c>
      <c r="AYT10" s="93"/>
      <c r="AYU10" s="94"/>
      <c r="AYV10" s="94"/>
    </row>
    <row r="11" spans="1:1350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74">((5/AHF$10)*100)</f>
        <v>176.49135192375573</v>
      </c>
      <c r="AHG11" s="23">
        <f t="shared" si="174"/>
        <v>130.44612575006522</v>
      </c>
      <c r="AHH11" s="23">
        <f t="shared" si="174"/>
        <v>75.953212820902323</v>
      </c>
      <c r="AHI11" s="23">
        <f t="shared" si="174"/>
        <v>87.596355991590741</v>
      </c>
      <c r="AHJ11" s="23">
        <f t="shared" si="174"/>
        <v>92.885008359650755</v>
      </c>
      <c r="AHK11" s="23">
        <f t="shared" si="174"/>
        <v>84.511803481886304</v>
      </c>
      <c r="AHL11" s="23">
        <f t="shared" si="174"/>
        <v>88.988329816175536</v>
      </c>
      <c r="AHM11" s="23">
        <f t="shared" si="174"/>
        <v>79.738457858225019</v>
      </c>
      <c r="AHN11" s="23">
        <f t="shared" si="174"/>
        <v>90.005400324019433</v>
      </c>
      <c r="AHO11" s="23">
        <f t="shared" si="174"/>
        <v>89.96041741633681</v>
      </c>
      <c r="AHP11" s="23">
        <f t="shared" si="174"/>
        <v>88.477068352556998</v>
      </c>
      <c r="AHQ11" s="23">
        <f t="shared" si="174"/>
        <v>93.75585974123382</v>
      </c>
      <c r="AHR11" s="23">
        <f t="shared" si="174"/>
        <v>86.288149318323633</v>
      </c>
      <c r="AHS11" s="23">
        <f t="shared" si="174"/>
        <v>93.132167850775659</v>
      </c>
      <c r="AHT11" s="23">
        <f t="shared" si="174"/>
        <v>84.990651028386878</v>
      </c>
      <c r="AHU11" s="23">
        <f t="shared" si="174"/>
        <v>89.557585527494183</v>
      </c>
      <c r="AHV11" s="23">
        <f t="shared" si="174"/>
        <v>79.319901829956791</v>
      </c>
      <c r="AHW11" s="23">
        <f t="shared" si="174"/>
        <v>78.778754245299538</v>
      </c>
      <c r="AHX11" s="23">
        <f t="shared" si="174"/>
        <v>83.277084776072314</v>
      </c>
      <c r="AHY11" s="23">
        <f t="shared" si="174"/>
        <v>79.579818558013699</v>
      </c>
      <c r="AHZ11" s="23">
        <f t="shared" si="174"/>
        <v>81.242310995566498</v>
      </c>
      <c r="AIA11" s="23">
        <f t="shared" si="174"/>
        <v>80.688936813227116</v>
      </c>
      <c r="AIB11" s="23">
        <f t="shared" si="174"/>
        <v>77.619314385221287</v>
      </c>
      <c r="AIC11" s="23">
        <f t="shared" si="174"/>
        <v>81.085464079139413</v>
      </c>
      <c r="AID11" s="23">
        <f>((5/AID$10)*100)</f>
        <v>82.061381913671426</v>
      </c>
      <c r="AIE11" s="23">
        <f t="shared" ref="AIE11:AKP11" si="175">((5/AIE$10)*100)</f>
        <v>75.62184424226912</v>
      </c>
      <c r="AIF11" s="23">
        <f t="shared" si="175"/>
        <v>78.49247925763558</v>
      </c>
      <c r="AIG11" s="23">
        <f t="shared" si="175"/>
        <v>76.36752416486658</v>
      </c>
      <c r="AIH11" s="23">
        <f t="shared" si="175"/>
        <v>77.578688866655597</v>
      </c>
      <c r="AII11" s="23">
        <f t="shared" si="175"/>
        <v>77.825049289197878</v>
      </c>
      <c r="AIJ11" s="23">
        <f t="shared" si="175"/>
        <v>77.086431296096436</v>
      </c>
      <c r="AIK11" s="23">
        <f t="shared" si="175"/>
        <v>77.611129435961118</v>
      </c>
      <c r="AIL11" s="23">
        <f t="shared" si="175"/>
        <v>76.040720958205256</v>
      </c>
      <c r="AIM11" s="23">
        <f t="shared" si="175"/>
        <v>77.335298559743791</v>
      </c>
      <c r="AIN11" s="23">
        <f t="shared" si="175"/>
        <v>77.984002138989766</v>
      </c>
      <c r="AIO11" s="23">
        <f t="shared" si="175"/>
        <v>78.264952954067169</v>
      </c>
      <c r="AIP11" s="23">
        <f t="shared" si="175"/>
        <v>75.56541309773263</v>
      </c>
      <c r="AIQ11" s="23">
        <f t="shared" si="175"/>
        <v>77.660696330327724</v>
      </c>
      <c r="AIR11" s="23">
        <f t="shared" si="175"/>
        <v>77.079059398309013</v>
      </c>
      <c r="AIS11" s="23">
        <f t="shared" si="175"/>
        <v>76.90237243818973</v>
      </c>
      <c r="AIT11" s="23">
        <f t="shared" si="175"/>
        <v>77.753714162175285</v>
      </c>
      <c r="AIU11" s="23">
        <f t="shared" si="175"/>
        <v>77.998484600870626</v>
      </c>
      <c r="AIV11" s="23">
        <f t="shared" si="175"/>
        <v>76.290101093254876</v>
      </c>
      <c r="AIW11" s="23">
        <f t="shared" si="175"/>
        <v>76.949444215150649</v>
      </c>
      <c r="AIX11" s="23">
        <f t="shared" si="175"/>
        <v>76.927021898558891</v>
      </c>
      <c r="AIY11" s="23">
        <f t="shared" si="175"/>
        <v>77.42335088262621</v>
      </c>
      <c r="AIZ11" s="23">
        <f t="shared" si="175"/>
        <v>77.583104710780077</v>
      </c>
      <c r="AJA11" s="23">
        <f t="shared" si="175"/>
        <v>77.799821060411574</v>
      </c>
      <c r="AJB11" s="23">
        <f t="shared" si="175"/>
        <v>76.786380290033122</v>
      </c>
      <c r="AJC11" s="23">
        <f t="shared" si="175"/>
        <v>78.394481028535594</v>
      </c>
      <c r="AJD11" s="23">
        <f t="shared" si="175"/>
        <v>77.101468556206981</v>
      </c>
      <c r="AJE11" s="23">
        <f t="shared" si="175"/>
        <v>77.481032047346872</v>
      </c>
      <c r="AJF11" s="23">
        <f t="shared" si="175"/>
        <v>76.834087660445519</v>
      </c>
      <c r="AJG11" s="23">
        <f t="shared" si="175"/>
        <v>75.687070405794827</v>
      </c>
      <c r="AJH11" s="23">
        <f t="shared" si="175"/>
        <v>76.801698015723403</v>
      </c>
      <c r="AJI11" s="23">
        <f t="shared" si="175"/>
        <v>76.004755726143998</v>
      </c>
      <c r="AJJ11" s="23">
        <f t="shared" si="175"/>
        <v>75.350777699342459</v>
      </c>
      <c r="AJK11" s="23">
        <f t="shared" si="175"/>
        <v>75.459129774090968</v>
      </c>
      <c r="AJL11" s="23">
        <f t="shared" si="175"/>
        <v>75.855560726876263</v>
      </c>
      <c r="AJM11" s="23">
        <f t="shared" si="175"/>
        <v>76.145997258744089</v>
      </c>
      <c r="AJN11" s="23">
        <f t="shared" si="175"/>
        <v>76.765673411139332</v>
      </c>
      <c r="AJO11" s="23">
        <f t="shared" si="175"/>
        <v>76.421313164680527</v>
      </c>
      <c r="AJP11" s="23">
        <f t="shared" si="175"/>
        <v>75.63406558313865</v>
      </c>
      <c r="AJQ11" s="23">
        <f t="shared" si="175"/>
        <v>76.224595771440548</v>
      </c>
      <c r="AJR11" s="23">
        <f t="shared" si="175"/>
        <v>76.624739181176253</v>
      </c>
      <c r="AJS11" s="23">
        <f t="shared" si="175"/>
        <v>76.304459417588859</v>
      </c>
      <c r="AJT11" s="23">
        <f t="shared" si="175"/>
        <v>77.40099027058001</v>
      </c>
      <c r="AJU11" s="23">
        <f t="shared" si="175"/>
        <v>77.379299671820732</v>
      </c>
      <c r="AJV11" s="23">
        <f t="shared" si="175"/>
        <v>76.585486051452136</v>
      </c>
      <c r="AJW11" s="23">
        <f t="shared" si="175"/>
        <v>77.509079635042951</v>
      </c>
      <c r="AJX11" s="23">
        <f t="shared" si="175"/>
        <v>76.075286675252812</v>
      </c>
      <c r="AJY11" s="23">
        <f t="shared" si="175"/>
        <v>76.927021898558905</v>
      </c>
      <c r="AJZ11" s="23">
        <f t="shared" si="175"/>
        <v>76.510452585529237</v>
      </c>
      <c r="AKA11" s="23">
        <f t="shared" si="175"/>
        <v>76.780689449088186</v>
      </c>
      <c r="AKB11" s="23">
        <f t="shared" si="175"/>
        <v>76.030209336509699</v>
      </c>
      <c r="AKC11" s="23">
        <f t="shared" si="175"/>
        <v>76.14345426784061</v>
      </c>
      <c r="AKD11" s="23">
        <f t="shared" si="175"/>
        <v>76.254082564355471</v>
      </c>
      <c r="AKE11" s="23">
        <f t="shared" si="175"/>
        <v>76.287498239519266</v>
      </c>
      <c r="AKF11" s="23">
        <f t="shared" si="175"/>
        <v>76.283248391775302</v>
      </c>
      <c r="AKG11" s="23">
        <f t="shared" si="175"/>
        <v>76.279105246095455</v>
      </c>
      <c r="AKH11" s="23">
        <f t="shared" si="175"/>
        <v>76.31099462431439</v>
      </c>
      <c r="AKI11" s="23">
        <f t="shared" si="175"/>
        <v>76.271123380633838</v>
      </c>
      <c r="AKJ11" s="23">
        <f t="shared" si="175"/>
        <v>75.71072301003943</v>
      </c>
      <c r="AKK11" s="23">
        <f t="shared" si="175"/>
        <v>75.679493740224729</v>
      </c>
      <c r="AKL11" s="23">
        <f t="shared" si="175"/>
        <v>75.147421559353205</v>
      </c>
      <c r="AKM11" s="23">
        <f t="shared" si="175"/>
        <v>75.68583689174109</v>
      </c>
      <c r="AKN11" s="23">
        <f t="shared" si="175"/>
        <v>74.971433298691352</v>
      </c>
      <c r="AKO11" s="23">
        <f t="shared" si="175"/>
        <v>75.238883454969539</v>
      </c>
      <c r="AKP11" s="23">
        <f t="shared" si="175"/>
        <v>75.534213603966492</v>
      </c>
      <c r="AKQ11" s="23">
        <f t="shared" ref="AKQ11:ANB11" si="176">((5/AKQ$10)*100)</f>
        <v>75.761402091014702</v>
      </c>
      <c r="AKR11" s="23">
        <f t="shared" si="176"/>
        <v>74.859781870112514</v>
      </c>
      <c r="AKS11" s="23">
        <f t="shared" si="176"/>
        <v>75.485816871408275</v>
      </c>
      <c r="AKT11" s="23">
        <f t="shared" si="176"/>
        <v>74.403690423044978</v>
      </c>
      <c r="AKU11" s="23">
        <f t="shared" si="176"/>
        <v>74.272837317201919</v>
      </c>
      <c r="AKV11" s="23">
        <f t="shared" si="176"/>
        <v>74.61104086328902</v>
      </c>
      <c r="AKW11" s="23">
        <f t="shared" si="176"/>
        <v>74.711892265451368</v>
      </c>
      <c r="AKX11" s="23">
        <f t="shared" si="176"/>
        <v>74.666962255465691</v>
      </c>
      <c r="AKY11" s="23">
        <f t="shared" si="176"/>
        <v>74.115081057697836</v>
      </c>
      <c r="AKZ11" s="23">
        <f t="shared" si="176"/>
        <v>74.664349809266525</v>
      </c>
      <c r="ALA11" s="23">
        <f t="shared" si="176"/>
        <v>74.041166888790173</v>
      </c>
      <c r="ALB11" s="23">
        <f t="shared" si="176"/>
        <v>74.168396038673308</v>
      </c>
      <c r="ALC11" s="23">
        <f t="shared" si="176"/>
        <v>73.384885015957607</v>
      </c>
      <c r="ALD11" s="23">
        <f t="shared" si="176"/>
        <v>73.829938828670109</v>
      </c>
      <c r="ALE11" s="23">
        <f t="shared" si="176"/>
        <v>74.245197620726984</v>
      </c>
      <c r="ALF11" s="23">
        <f t="shared" si="176"/>
        <v>73.843297490031148</v>
      </c>
      <c r="ALG11" s="23">
        <f t="shared" si="176"/>
        <v>73.734206272137641</v>
      </c>
      <c r="ALH11" s="23">
        <f t="shared" si="176"/>
        <v>74.214745568269933</v>
      </c>
      <c r="ALI11" s="23">
        <f t="shared" si="176"/>
        <v>74.230477384447909</v>
      </c>
      <c r="ALJ11" s="23">
        <f t="shared" si="176"/>
        <v>74.499656208008517</v>
      </c>
      <c r="ALK11" s="23">
        <f t="shared" si="176"/>
        <v>74.74044681198022</v>
      </c>
      <c r="ALL11" s="23">
        <f t="shared" si="176"/>
        <v>74.776378209489735</v>
      </c>
      <c r="ALM11" s="23">
        <f t="shared" si="176"/>
        <v>75.137931774757931</v>
      </c>
      <c r="ALN11" s="23">
        <f t="shared" si="176"/>
        <v>74.82165298909193</v>
      </c>
      <c r="ALO11" s="23">
        <f t="shared" si="176"/>
        <v>75.450519020149258</v>
      </c>
      <c r="ALP11" s="23">
        <f t="shared" si="176"/>
        <v>74.574116945184784</v>
      </c>
      <c r="ALQ11" s="23">
        <f t="shared" si="176"/>
        <v>75.238883454969525</v>
      </c>
      <c r="ALR11" s="23">
        <f t="shared" si="176"/>
        <v>75.220743952445062</v>
      </c>
      <c r="ALS11" s="23">
        <f t="shared" si="176"/>
        <v>75.226891956332707</v>
      </c>
      <c r="ALT11" s="23">
        <f t="shared" si="176"/>
        <v>75.591359462958337</v>
      </c>
      <c r="ALU11" s="23">
        <f t="shared" si="176"/>
        <v>74.980317666612507</v>
      </c>
      <c r="ALV11" s="23">
        <f t="shared" si="176"/>
        <v>75.502968327440769</v>
      </c>
      <c r="ALW11" s="23">
        <f t="shared" si="176"/>
        <v>74.996065780155803</v>
      </c>
      <c r="ALX11" s="23">
        <f t="shared" si="176"/>
        <v>75.072417417289131</v>
      </c>
      <c r="ALY11" s="23">
        <f t="shared" si="176"/>
        <v>75.05671624445246</v>
      </c>
      <c r="ALZ11" s="23">
        <f t="shared" si="176"/>
        <v>75.244544770504135</v>
      </c>
      <c r="AMA11" s="23">
        <f t="shared" si="176"/>
        <v>75.407740425012392</v>
      </c>
      <c r="AMB11" s="23">
        <f t="shared" si="176"/>
        <v>75.524119549329143</v>
      </c>
      <c r="AMC11" s="23">
        <f t="shared" si="176"/>
        <v>75.41620317125134</v>
      </c>
      <c r="AMD11" s="23">
        <f t="shared" si="176"/>
        <v>75.797014420235101</v>
      </c>
      <c r="AME11" s="23">
        <f t="shared" si="176"/>
        <v>75.468193059248335</v>
      </c>
      <c r="AMF11" s="23">
        <f t="shared" si="176"/>
        <v>75.602540707062658</v>
      </c>
      <c r="AMG11" s="23">
        <f t="shared" si="176"/>
        <v>75.260332331382642</v>
      </c>
      <c r="AMH11" s="23">
        <f t="shared" si="176"/>
        <v>75.715396640513561</v>
      </c>
      <c r="AMI11" s="23">
        <f t="shared" si="176"/>
        <v>75.974744634141928</v>
      </c>
      <c r="AMJ11" s="23">
        <f t="shared" si="176"/>
        <v>76.275064833805104</v>
      </c>
      <c r="AMK11" s="23">
        <f t="shared" si="176"/>
        <v>76.080681324877929</v>
      </c>
      <c r="AML11" s="23">
        <f t="shared" si="176"/>
        <v>76.227909207552472</v>
      </c>
      <c r="AMM11" s="23">
        <f t="shared" si="176"/>
        <v>76.437015898899304</v>
      </c>
      <c r="AMN11" s="23">
        <f t="shared" si="176"/>
        <v>75.622635432523396</v>
      </c>
      <c r="AMO11" s="23">
        <f t="shared" si="176"/>
        <v>74.876720827494736</v>
      </c>
      <c r="AMP11" s="23">
        <f t="shared" si="176"/>
        <v>74.390394459023554</v>
      </c>
      <c r="AMQ11" s="23">
        <f t="shared" si="176"/>
        <v>74.362213103250369</v>
      </c>
      <c r="AMR11" s="23">
        <f t="shared" si="176"/>
        <v>74.489331356674711</v>
      </c>
      <c r="AMS11" s="23">
        <f t="shared" si="176"/>
        <v>74.964704118477556</v>
      </c>
      <c r="AMT11" s="23">
        <f t="shared" si="176"/>
        <v>75.068467619604775</v>
      </c>
      <c r="AMU11" s="23">
        <f t="shared" si="176"/>
        <v>75.171091463653227</v>
      </c>
      <c r="AMV11" s="23">
        <f t="shared" si="176"/>
        <v>74.870046989867589</v>
      </c>
      <c r="AMW11" s="23">
        <f t="shared" si="176"/>
        <v>75.086196924712894</v>
      </c>
      <c r="AMX11" s="23">
        <f t="shared" si="176"/>
        <v>75.091949840593415</v>
      </c>
      <c r="AMY11" s="23">
        <f t="shared" si="176"/>
        <v>75.361736334405137</v>
      </c>
      <c r="AMZ11" s="23">
        <f t="shared" si="176"/>
        <v>75.159302880044748</v>
      </c>
      <c r="ANA11" s="23">
        <f t="shared" si="176"/>
        <v>75.40684972010169</v>
      </c>
      <c r="ANB11" s="23">
        <f t="shared" si="176"/>
        <v>75.540708542222319</v>
      </c>
      <c r="ANC11" s="23">
        <f t="shared" ref="ANC11:APO11" si="177">((5/ANC$10)*100)</f>
        <v>75.02811118191687</v>
      </c>
      <c r="AND11" s="23">
        <f t="shared" si="177"/>
        <v>75.527596809324493</v>
      </c>
      <c r="ANE11" s="23">
        <f t="shared" si="177"/>
        <v>75.384315036851334</v>
      </c>
      <c r="ANF11" s="23">
        <f t="shared" si="177"/>
        <v>75.478519390287417</v>
      </c>
      <c r="ANG11" s="23">
        <f t="shared" si="177"/>
        <v>75.971473192648261</v>
      </c>
      <c r="ANH11" s="23">
        <f t="shared" si="177"/>
        <v>75.323535904692534</v>
      </c>
      <c r="ANI11" s="23">
        <f t="shared" si="177"/>
        <v>75.809263892047625</v>
      </c>
      <c r="ANJ11" s="23">
        <f t="shared" si="177"/>
        <v>75.792312117448887</v>
      </c>
      <c r="ANK11" s="23">
        <f t="shared" si="177"/>
        <v>76.131683374908135</v>
      </c>
      <c r="ANL11" s="23">
        <f t="shared" si="177"/>
        <v>75.953212820902323</v>
      </c>
      <c r="ANM11" s="23">
        <f t="shared" si="177"/>
        <v>76.200246814457969</v>
      </c>
      <c r="ANN11" s="23">
        <f t="shared" si="177"/>
        <v>76.093322695640552</v>
      </c>
      <c r="ANO11" s="23">
        <f t="shared" si="177"/>
        <v>76.425285535916203</v>
      </c>
      <c r="ANP11" s="23">
        <f t="shared" si="177"/>
        <v>75.849721263629093</v>
      </c>
      <c r="ANQ11" s="23">
        <f t="shared" si="177"/>
        <v>76.315488228335937</v>
      </c>
      <c r="ANR11" s="23">
        <f t="shared" si="177"/>
        <v>76.175743299464429</v>
      </c>
      <c r="ANS11" s="23">
        <f t="shared" si="177"/>
        <v>76.259857708077277</v>
      </c>
      <c r="ANT11" s="23">
        <f t="shared" si="177"/>
        <v>76.071473375429179</v>
      </c>
      <c r="ANU11" s="23">
        <f t="shared" si="177"/>
        <v>76.222484569378409</v>
      </c>
      <c r="ANV11" s="23">
        <f t="shared" si="177"/>
        <v>76.120310570867133</v>
      </c>
      <c r="ANW11" s="23">
        <f t="shared" si="177"/>
        <v>76.119348138400724</v>
      </c>
      <c r="ANX11" s="23">
        <f t="shared" si="177"/>
        <v>76.317568304223627</v>
      </c>
      <c r="ANY11" s="23">
        <f t="shared" si="177"/>
        <v>76.249363144523741</v>
      </c>
      <c r="ANZ11" s="23">
        <f t="shared" si="177"/>
        <v>76.346348444734303</v>
      </c>
      <c r="AOA11" s="23">
        <f t="shared" si="177"/>
        <v>76.409672606016272</v>
      </c>
      <c r="AOB11" s="23">
        <f t="shared" si="177"/>
        <v>76.211918522221097</v>
      </c>
      <c r="AOC11" s="23">
        <f t="shared" si="177"/>
        <v>76.469488674019061</v>
      </c>
      <c r="AOD11" s="23">
        <f t="shared" si="177"/>
        <v>76.450468121844324</v>
      </c>
      <c r="AOE11" s="23">
        <f t="shared" si="177"/>
        <v>76.511994726557901</v>
      </c>
      <c r="AOF11" s="23">
        <f t="shared" si="177"/>
        <v>76.524915759867312</v>
      </c>
      <c r="AOG11" s="23">
        <f t="shared" si="177"/>
        <v>75.937539722761954</v>
      </c>
      <c r="AOH11" s="23">
        <f t="shared" si="177"/>
        <v>76.172124296437204</v>
      </c>
      <c r="AOI11" s="23">
        <f t="shared" si="177"/>
        <v>76.280278349196337</v>
      </c>
      <c r="AOJ11" s="23">
        <f t="shared" si="177"/>
        <v>76.092290589540283</v>
      </c>
      <c r="AOK11" s="23">
        <f t="shared" si="177"/>
        <v>76.137773731496083</v>
      </c>
      <c r="AOL11" s="23">
        <f t="shared" si="177"/>
        <v>76.029597638496554</v>
      </c>
      <c r="AOM11" s="23">
        <f t="shared" si="177"/>
        <v>76.135826314144438</v>
      </c>
      <c r="AON11" s="23">
        <f t="shared" si="177"/>
        <v>76.302150122682662</v>
      </c>
      <c r="AOO11" s="23">
        <f t="shared" si="177"/>
        <v>76.482688621447338</v>
      </c>
      <c r="AOP11" s="23">
        <f t="shared" si="177"/>
        <v>76.434493263071673</v>
      </c>
      <c r="AOQ11" s="23">
        <f t="shared" si="177"/>
        <v>76.416943448310633</v>
      </c>
      <c r="AOR11" s="23">
        <f t="shared" si="177"/>
        <v>76.280037709721213</v>
      </c>
      <c r="AOS11" s="23">
        <f t="shared" si="177"/>
        <v>75.398071040370283</v>
      </c>
      <c r="AOT11" s="23">
        <f t="shared" si="177"/>
        <v>75.77791608422811</v>
      </c>
      <c r="AOU11" s="23">
        <f t="shared" si="177"/>
        <v>76.128430969968491</v>
      </c>
      <c r="AOV11" s="23">
        <f t="shared" si="177"/>
        <v>75.765248041715822</v>
      </c>
      <c r="AOW11" s="23">
        <f t="shared" si="177"/>
        <v>75.823634226788499</v>
      </c>
      <c r="AOX11" s="23">
        <f t="shared" si="177"/>
        <v>75.938865057770215</v>
      </c>
      <c r="AOY11" s="23">
        <f t="shared" si="177"/>
        <v>75.796463231961184</v>
      </c>
      <c r="AOZ11" s="23">
        <f t="shared" si="177"/>
        <v>76.124105541759889</v>
      </c>
      <c r="APA11" s="23">
        <f t="shared" si="177"/>
        <v>75.93907601501509</v>
      </c>
      <c r="APB11" s="23">
        <f t="shared" si="177"/>
        <v>75.9391449622712</v>
      </c>
      <c r="APC11" s="23">
        <f t="shared" si="177"/>
        <v>75.785557774347396</v>
      </c>
      <c r="APD11" s="23">
        <f t="shared" si="177"/>
        <v>75.84190004843623</v>
      </c>
      <c r="APE11" s="23">
        <f t="shared" si="177"/>
        <v>75.828609842845225</v>
      </c>
      <c r="APF11" s="23">
        <f t="shared" si="177"/>
        <v>75.911831857834926</v>
      </c>
      <c r="APG11" s="23">
        <f t="shared" si="177"/>
        <v>75.88459759481961</v>
      </c>
      <c r="APH11" s="23">
        <f t="shared" si="177"/>
        <v>75.925881945688886</v>
      </c>
      <c r="API11" s="23">
        <f t="shared" si="177"/>
        <v>75.912417122976677</v>
      </c>
      <c r="APJ11" s="23">
        <f t="shared" si="177"/>
        <v>75.669891696135281</v>
      </c>
      <c r="APK11" s="23">
        <f t="shared" si="177"/>
        <v>75.77839281819135</v>
      </c>
      <c r="APL11" s="23">
        <f t="shared" si="177"/>
        <v>75.872801894349763</v>
      </c>
      <c r="APM11" s="23">
        <f t="shared" si="177"/>
        <v>75.687070405794827</v>
      </c>
      <c r="APN11" s="23">
        <f t="shared" si="177"/>
        <v>75.530225664822609</v>
      </c>
      <c r="APO11" s="23">
        <f t="shared" si="177"/>
        <v>75.505994067584098</v>
      </c>
      <c r="APP11" s="23">
        <f t="shared" ref="APP11:ASA11" si="178">((5/APP$10)*100)</f>
        <v>75.158192551857439</v>
      </c>
      <c r="APQ11" s="23">
        <f t="shared" si="178"/>
        <v>75.393588803366669</v>
      </c>
      <c r="APR11" s="23">
        <f t="shared" si="178"/>
        <v>75.216477105261546</v>
      </c>
      <c r="APS11" s="23">
        <f t="shared" si="178"/>
        <v>75.462667734474735</v>
      </c>
      <c r="APT11" s="23">
        <f t="shared" si="178"/>
        <v>75.503179598025142</v>
      </c>
      <c r="APU11" s="23">
        <f t="shared" si="178"/>
        <v>75.264163774820375</v>
      </c>
      <c r="APV11" s="23">
        <f t="shared" si="178"/>
        <v>75.608649629517615</v>
      </c>
      <c r="APW11" s="23">
        <f t="shared" si="178"/>
        <v>75.610167359425304</v>
      </c>
      <c r="APX11" s="23">
        <f t="shared" si="178"/>
        <v>75.826356974454868</v>
      </c>
      <c r="APY11" s="23">
        <f t="shared" si="178"/>
        <v>75.650795926005557</v>
      </c>
      <c r="APZ11" s="23">
        <f t="shared" si="178"/>
        <v>75.840019287872153</v>
      </c>
      <c r="AQA11" s="23">
        <f t="shared" si="178"/>
        <v>75.603678940759593</v>
      </c>
      <c r="AQB11" s="23">
        <f t="shared" si="178"/>
        <v>75.741529244427426</v>
      </c>
      <c r="AQC11" s="23">
        <f t="shared" si="178"/>
        <v>75.779549451382195</v>
      </c>
      <c r="AQD11" s="23">
        <f t="shared" si="178"/>
        <v>75.854305041088281</v>
      </c>
      <c r="AQE11" s="23">
        <f t="shared" si="178"/>
        <v>75.817860873577274</v>
      </c>
      <c r="AQF11" s="23">
        <f t="shared" si="178"/>
        <v>75.708518980286783</v>
      </c>
      <c r="AQG11" s="23">
        <f t="shared" si="178"/>
        <v>75.928776234035638</v>
      </c>
      <c r="AQH11" s="23">
        <f t="shared" si="178"/>
        <v>75.746873763520171</v>
      </c>
      <c r="AQI11" s="23">
        <f t="shared" si="178"/>
        <v>75.953212820902323</v>
      </c>
      <c r="AQJ11" s="23">
        <f t="shared" si="178"/>
        <v>75.953212820902323</v>
      </c>
      <c r="AQK11" s="23">
        <f t="shared" si="178"/>
        <v>75.809263892047611</v>
      </c>
      <c r="AQL11" s="23">
        <f t="shared" si="178"/>
        <v>76.133167967459229</v>
      </c>
      <c r="AQM11" s="23">
        <f t="shared" si="178"/>
        <v>75.668225473801911</v>
      </c>
      <c r="AQN11" s="23">
        <f t="shared" si="178"/>
        <v>75.988839959997961</v>
      </c>
      <c r="AQO11" s="23">
        <f t="shared" si="178"/>
        <v>75.729266630333171</v>
      </c>
      <c r="AQP11" s="23">
        <f t="shared" si="178"/>
        <v>76.047515729419828</v>
      </c>
      <c r="AQQ11" s="23">
        <f t="shared" si="178"/>
        <v>75.847830752040494</v>
      </c>
      <c r="AQR11" s="23">
        <f t="shared" si="178"/>
        <v>76.163998665434065</v>
      </c>
      <c r="AQS11" s="23">
        <f t="shared" si="178"/>
        <v>75.941583773978252</v>
      </c>
      <c r="AQT11" s="23">
        <f t="shared" si="178"/>
        <v>75.97638812522618</v>
      </c>
      <c r="AQU11" s="23">
        <f t="shared" si="178"/>
        <v>75.608649629517615</v>
      </c>
      <c r="AQV11" s="23">
        <f t="shared" si="178"/>
        <v>75.861389454239259</v>
      </c>
      <c r="AQW11" s="23">
        <f t="shared" si="178"/>
        <v>75.679493740224729</v>
      </c>
      <c r="AQX11" s="23">
        <f t="shared" si="178"/>
        <v>75.793933968804055</v>
      </c>
      <c r="AQY11" s="23">
        <f t="shared" si="178"/>
        <v>75.953212820902323</v>
      </c>
      <c r="AQZ11" s="23">
        <f t="shared" si="178"/>
        <v>76.055153407718251</v>
      </c>
      <c r="ARA11" s="23">
        <f t="shared" si="178"/>
        <v>75.807019019270385</v>
      </c>
      <c r="ARB11" s="23">
        <f t="shared" si="178"/>
        <v>75.673657499259477</v>
      </c>
      <c r="ARC11" s="23">
        <f t="shared" si="178"/>
        <v>75.431362138368016</v>
      </c>
      <c r="ARD11" s="23">
        <f t="shared" si="178"/>
        <v>75.532357303628999</v>
      </c>
      <c r="ARE11" s="23">
        <f t="shared" si="178"/>
        <v>75.8203175121604</v>
      </c>
      <c r="ARF11" s="23">
        <f t="shared" si="178"/>
        <v>75.831840424239928</v>
      </c>
      <c r="ARG11" s="23">
        <f t="shared" si="178"/>
        <v>75.41755997135283</v>
      </c>
      <c r="ARH11" s="23">
        <f t="shared" si="178"/>
        <v>75.712692498800976</v>
      </c>
      <c r="ARI11" s="23">
        <f t="shared" si="178"/>
        <v>75.464708243147285</v>
      </c>
      <c r="ARJ11" s="23">
        <f t="shared" si="178"/>
        <v>75.757792332167909</v>
      </c>
      <c r="ARK11" s="23">
        <f t="shared" si="178"/>
        <v>75.57556761228939</v>
      </c>
      <c r="ARL11" s="23">
        <f t="shared" si="178"/>
        <v>75.866885724011595</v>
      </c>
      <c r="ARM11" s="23">
        <f t="shared" si="178"/>
        <v>75.749267662863758</v>
      </c>
      <c r="ARN11" s="23">
        <f t="shared" si="178"/>
        <v>75.579758560601761</v>
      </c>
      <c r="ARO11" s="23">
        <f t="shared" si="178"/>
        <v>75.86784383587819</v>
      </c>
      <c r="ARP11" s="23">
        <f t="shared" si="178"/>
        <v>75.878779869219699</v>
      </c>
      <c r="ARQ11" s="23">
        <f t="shared" si="178"/>
        <v>75.921412406228683</v>
      </c>
      <c r="ARR11" s="23">
        <f t="shared" si="178"/>
        <v>76.069614006617215</v>
      </c>
      <c r="ARS11" s="23">
        <f t="shared" si="178"/>
        <v>76.016428426371164</v>
      </c>
      <c r="ART11" s="23">
        <f t="shared" si="178"/>
        <v>76.110872784135736</v>
      </c>
      <c r="ARU11" s="23">
        <f t="shared" si="178"/>
        <v>76.078830899913342</v>
      </c>
      <c r="ARV11" s="23">
        <f t="shared" si="178"/>
        <v>76.026174961204703</v>
      </c>
      <c r="ARW11" s="23">
        <f t="shared" si="178"/>
        <v>76.109167924201842</v>
      </c>
      <c r="ARX11" s="23">
        <f t="shared" si="178"/>
        <v>75.870594678615973</v>
      </c>
      <c r="ARY11" s="23">
        <f t="shared" si="178"/>
        <v>75.819527860968648</v>
      </c>
      <c r="ARZ11" s="23">
        <f t="shared" si="178"/>
        <v>75.8302331091529</v>
      </c>
      <c r="ASA11" s="23">
        <f t="shared" si="178"/>
        <v>75.881680547811911</v>
      </c>
      <c r="ASB11" s="23">
        <f t="shared" ref="ASB11:AUM11" si="179">((5/ASB$10)*100)</f>
        <v>75.618346988278887</v>
      </c>
      <c r="ASC11" s="23">
        <f t="shared" si="179"/>
        <v>75.619520913057798</v>
      </c>
      <c r="ASD11" s="23">
        <f t="shared" si="179"/>
        <v>75.590601303341103</v>
      </c>
      <c r="ASE11" s="23">
        <f t="shared" si="179"/>
        <v>75.4920976139218</v>
      </c>
      <c r="ASF11" s="23">
        <f t="shared" si="179"/>
        <v>75.513557972574105</v>
      </c>
      <c r="ASG11" s="23">
        <f t="shared" si="179"/>
        <v>75.624135442826585</v>
      </c>
      <c r="ASH11" s="23">
        <f t="shared" si="179"/>
        <v>75.635165274613229</v>
      </c>
      <c r="ASI11" s="23">
        <f t="shared" si="179"/>
        <v>75.53775064207089</v>
      </c>
      <c r="ASJ11" s="23">
        <f t="shared" si="179"/>
        <v>75.686523585325233</v>
      </c>
      <c r="ASK11" s="23">
        <f t="shared" si="179"/>
        <v>75.70705724594319</v>
      </c>
      <c r="ASL11" s="23">
        <f t="shared" si="179"/>
        <v>75.503048725493088</v>
      </c>
      <c r="ASM11" s="23">
        <f t="shared" si="179"/>
        <v>75.611371950341322</v>
      </c>
      <c r="ASN11" s="23">
        <f t="shared" si="179"/>
        <v>75.573784350846807</v>
      </c>
      <c r="ASO11" s="23">
        <f t="shared" si="179"/>
        <v>75.604014777519851</v>
      </c>
      <c r="ASP11" s="23">
        <f t="shared" si="179"/>
        <v>75.701539162674706</v>
      </c>
      <c r="ASQ11" s="23">
        <f t="shared" si="179"/>
        <v>75.615940043156911</v>
      </c>
      <c r="ASR11" s="23">
        <f t="shared" si="179"/>
        <v>75.731978701837377</v>
      </c>
      <c r="ASS11" s="23">
        <f t="shared" si="179"/>
        <v>75.618178610137875</v>
      </c>
      <c r="AST11" s="23">
        <f t="shared" si="179"/>
        <v>75.458151310389709</v>
      </c>
      <c r="ASU11" s="23">
        <f t="shared" si="179"/>
        <v>75.582536129453359</v>
      </c>
      <c r="ASV11" s="23">
        <f t="shared" si="179"/>
        <v>75.602612706528632</v>
      </c>
      <c r="ASW11" s="23">
        <f t="shared" si="179"/>
        <v>75.603760690222543</v>
      </c>
      <c r="ASX11" s="23">
        <f t="shared" si="179"/>
        <v>75.74572285012529</v>
      </c>
      <c r="ASY11" s="23">
        <f t="shared" si="179"/>
        <v>75.531385512191662</v>
      </c>
      <c r="ASZ11" s="23">
        <f t="shared" si="179"/>
        <v>75.486321239293602</v>
      </c>
      <c r="ATA11" s="23">
        <f t="shared" si="179"/>
        <v>75.478578297262089</v>
      </c>
      <c r="ATB11" s="23">
        <f t="shared" si="179"/>
        <v>75.259499137073121</v>
      </c>
      <c r="ATC11" s="23">
        <f t="shared" si="179"/>
        <v>75.106724232336603</v>
      </c>
      <c r="ATD11" s="23">
        <f t="shared" si="179"/>
        <v>75.227508789040286</v>
      </c>
      <c r="ATE11" s="23">
        <f t="shared" si="179"/>
        <v>75.220743952445048</v>
      </c>
      <c r="ATF11" s="23">
        <f t="shared" si="179"/>
        <v>75.051708948993138</v>
      </c>
      <c r="ATG11" s="23">
        <f t="shared" si="179"/>
        <v>75.036610218743675</v>
      </c>
      <c r="ATH11" s="23">
        <f t="shared" si="179"/>
        <v>75.15585893603162</v>
      </c>
      <c r="ATI11" s="23">
        <f t="shared" si="179"/>
        <v>74.962234216179695</v>
      </c>
      <c r="ATJ11" s="23">
        <f t="shared" si="179"/>
        <v>75.205415169477888</v>
      </c>
      <c r="ATK11" s="23">
        <f t="shared" si="179"/>
        <v>75.110043299286602</v>
      </c>
      <c r="ATL11" s="23">
        <f t="shared" si="179"/>
        <v>75.156898861431884</v>
      </c>
      <c r="ATM11" s="23">
        <f t="shared" si="179"/>
        <v>75.132891301489508</v>
      </c>
      <c r="ATN11" s="23">
        <f t="shared" si="179"/>
        <v>75.056362417946559</v>
      </c>
      <c r="ATO11" s="23">
        <f t="shared" si="179"/>
        <v>75.155469124172697</v>
      </c>
      <c r="ATP11" s="23">
        <f t="shared" si="179"/>
        <v>75.122952783247257</v>
      </c>
      <c r="ATQ11" s="23">
        <f t="shared" si="179"/>
        <v>75.021117055171089</v>
      </c>
      <c r="ATR11" s="23">
        <f t="shared" si="179"/>
        <v>74.980678056039409</v>
      </c>
      <c r="ATS11" s="23">
        <f t="shared" si="179"/>
        <v>74.975000666955523</v>
      </c>
      <c r="ATT11" s="23">
        <f t="shared" si="179"/>
        <v>74.849237155802228</v>
      </c>
      <c r="ATU11" s="23">
        <f t="shared" si="179"/>
        <v>74.758720787118165</v>
      </c>
      <c r="ATV11" s="23">
        <f t="shared" si="179"/>
        <v>74.992352603556682</v>
      </c>
      <c r="ATW11" s="23">
        <f t="shared" si="179"/>
        <v>74.83366517150516</v>
      </c>
      <c r="ATX11" s="23">
        <f t="shared" si="179"/>
        <v>74.870853432726832</v>
      </c>
      <c r="ATY11" s="23">
        <f t="shared" si="179"/>
        <v>74.865625222680137</v>
      </c>
      <c r="ATZ11" s="23">
        <f t="shared" si="179"/>
        <v>74.910950451242869</v>
      </c>
      <c r="AUA11" s="23">
        <f t="shared" si="179"/>
        <v>74.880437911562154</v>
      </c>
      <c r="AUB11" s="23">
        <f t="shared" si="179"/>
        <v>74.975772754027986</v>
      </c>
      <c r="AUC11" s="23">
        <f t="shared" si="179"/>
        <v>75.012122494796031</v>
      </c>
      <c r="AUD11" s="23">
        <f t="shared" si="179"/>
        <v>74.948147891154832</v>
      </c>
      <c r="AUE11" s="23">
        <f t="shared" si="179"/>
        <v>74.959393299073781</v>
      </c>
      <c r="AUF11" s="23">
        <f t="shared" si="179"/>
        <v>75.003750187509368</v>
      </c>
      <c r="AUG11" s="23">
        <f t="shared" si="179"/>
        <v>75.04789821739169</v>
      </c>
      <c r="AUH11" s="23">
        <f t="shared" si="179"/>
        <v>74.951545254688</v>
      </c>
      <c r="AUI11" s="23">
        <f t="shared" si="179"/>
        <v>75.086085538419937</v>
      </c>
      <c r="AUJ11" s="23">
        <f t="shared" si="179"/>
        <v>74.932746221794815</v>
      </c>
      <c r="AUK11" s="23">
        <f t="shared" si="179"/>
        <v>75.050113404212055</v>
      </c>
      <c r="AUL11" s="23">
        <f t="shared" si="179"/>
        <v>74.832927355664623</v>
      </c>
      <c r="AUM11" s="23">
        <f t="shared" si="179"/>
        <v>74.787590274673647</v>
      </c>
      <c r="AUN11" s="23">
        <f t="shared" ref="AUN11:AWY11" si="180">((5/AUN$10)*100)</f>
        <v>74.68626388314334</v>
      </c>
      <c r="AUO11" s="23">
        <f t="shared" si="180"/>
        <v>74.794187030172139</v>
      </c>
      <c r="AUP11" s="23">
        <f t="shared" si="180"/>
        <v>74.645476762157259</v>
      </c>
      <c r="AUQ11" s="23">
        <f t="shared" si="180"/>
        <v>74.569626725754219</v>
      </c>
      <c r="AUR11" s="23">
        <f t="shared" si="180"/>
        <v>74.573496961608029</v>
      </c>
      <c r="AUS11" s="23">
        <f t="shared" si="180"/>
        <v>74.5141970714227</v>
      </c>
      <c r="AUT11" s="23">
        <f t="shared" si="180"/>
        <v>74.6048163855002</v>
      </c>
      <c r="AUU11" s="23">
        <f t="shared" si="180"/>
        <v>74.679384945648593</v>
      </c>
      <c r="AUV11" s="23">
        <f t="shared" si="180"/>
        <v>74.753681355589563</v>
      </c>
      <c r="AUW11" s="23">
        <f t="shared" si="180"/>
        <v>74.874921023784154</v>
      </c>
      <c r="AUX11" s="23">
        <f t="shared" si="180"/>
        <v>74.964376172499541</v>
      </c>
      <c r="AUY11" s="23">
        <f t="shared" si="180"/>
        <v>75.163848792171535</v>
      </c>
      <c r="AUZ11" s="23">
        <f t="shared" si="180"/>
        <v>75.142425245845502</v>
      </c>
      <c r="AVA11" s="23">
        <f t="shared" si="180"/>
        <v>75.262477891647123</v>
      </c>
      <c r="AVB11" s="23">
        <f t="shared" si="180"/>
        <v>75.233003489060778</v>
      </c>
      <c r="AVC11" s="23">
        <f t="shared" si="180"/>
        <v>75.055586748086085</v>
      </c>
      <c r="AVD11" s="23">
        <f t="shared" si="180"/>
        <v>74.756608545977784</v>
      </c>
      <c r="AVE11" s="23">
        <f t="shared" si="180"/>
        <v>74.821312727598624</v>
      </c>
      <c r="AVF11" s="23">
        <f t="shared" si="180"/>
        <v>74.701857722637115</v>
      </c>
      <c r="AVG11" s="23">
        <f t="shared" si="180"/>
        <v>74.835056175364286</v>
      </c>
      <c r="AVH11" s="23">
        <f t="shared" si="180"/>
        <v>74.761831620058345</v>
      </c>
      <c r="AVI11" s="23">
        <f t="shared" si="180"/>
        <v>74.78021120532695</v>
      </c>
      <c r="AVJ11" s="23">
        <f t="shared" si="180"/>
        <v>74.821250208343727</v>
      </c>
      <c r="AVK11" s="23">
        <f t="shared" si="180"/>
        <v>74.930335039854839</v>
      </c>
      <c r="AVL11" s="23">
        <f t="shared" si="180"/>
        <v>74.849906770506948</v>
      </c>
      <c r="AVM11" s="23">
        <f t="shared" si="180"/>
        <v>74.90558272113455</v>
      </c>
      <c r="AVN11" s="23">
        <f t="shared" si="180"/>
        <v>74.908352743232243</v>
      </c>
      <c r="AVO11" s="23">
        <f t="shared" si="180"/>
        <v>74.731486173476156</v>
      </c>
      <c r="AVP11" s="23">
        <f t="shared" si="180"/>
        <v>74.876453851145612</v>
      </c>
      <c r="AVQ11" s="23">
        <f t="shared" si="180"/>
        <v>74.901651740786107</v>
      </c>
      <c r="AVR11" s="23">
        <f t="shared" si="180"/>
        <v>74.859781870112514</v>
      </c>
      <c r="AVS11" s="23">
        <f t="shared" si="180"/>
        <v>74.722045850079908</v>
      </c>
      <c r="AVT11" s="23">
        <f t="shared" si="180"/>
        <v>74.872864295995555</v>
      </c>
      <c r="AVU11" s="23">
        <f t="shared" si="180"/>
        <v>74.846171421368197</v>
      </c>
      <c r="AVV11" s="23">
        <f t="shared" si="180"/>
        <v>74.959480564246178</v>
      </c>
      <c r="AVW11" s="23">
        <f t="shared" si="180"/>
        <v>75.079914904188598</v>
      </c>
      <c r="AVX11" s="23">
        <f t="shared" si="180"/>
        <v>75.030688139156638</v>
      </c>
      <c r="AVY11" s="23">
        <f t="shared" si="180"/>
        <v>75.084411303019579</v>
      </c>
      <c r="AVZ11" s="23">
        <f t="shared" si="180"/>
        <v>75.108614860580857</v>
      </c>
      <c r="AWA11" s="23">
        <f t="shared" si="180"/>
        <v>75.176606598091055</v>
      </c>
      <c r="AWB11" s="23">
        <f t="shared" si="180"/>
        <v>75.207812595345814</v>
      </c>
      <c r="AWC11" s="23">
        <f t="shared" si="180"/>
        <v>75.187853363532483</v>
      </c>
      <c r="AWD11" s="23">
        <f t="shared" si="180"/>
        <v>75.233426694985894</v>
      </c>
      <c r="AWE11" s="23">
        <f t="shared" si="180"/>
        <v>75.235254854603056</v>
      </c>
      <c r="AWF11" s="23">
        <f t="shared" si="180"/>
        <v>75.251553819487881</v>
      </c>
      <c r="AWG11" s="23">
        <f t="shared" si="180"/>
        <v>75.260551260499042</v>
      </c>
      <c r="AWH11" s="23">
        <f t="shared" si="180"/>
        <v>75.327213364619354</v>
      </c>
      <c r="AWI11" s="23">
        <f t="shared" si="180"/>
        <v>75.321588773183365</v>
      </c>
      <c r="AWJ11" s="23">
        <f t="shared" si="180"/>
        <v>75.387865798147558</v>
      </c>
      <c r="AWK11" s="23">
        <f t="shared" si="180"/>
        <v>75.281793440446393</v>
      </c>
      <c r="AWL11" s="23">
        <f t="shared" si="180"/>
        <v>75.369223765340109</v>
      </c>
      <c r="AWM11" s="23">
        <f t="shared" si="180"/>
        <v>75.406379758654111</v>
      </c>
      <c r="AWN11" s="23">
        <f t="shared" si="180"/>
        <v>75.350777699342459</v>
      </c>
      <c r="AWO11" s="23">
        <f t="shared" si="180"/>
        <v>75.359369995666853</v>
      </c>
      <c r="AWP11" s="23">
        <f t="shared" si="180"/>
        <v>75.396262827235773</v>
      </c>
      <c r="AWQ11" s="23">
        <f t="shared" si="180"/>
        <v>75.418856064801687</v>
      </c>
      <c r="AWR11" s="23">
        <f t="shared" si="180"/>
        <v>75.391953976111793</v>
      </c>
      <c r="AWS11" s="23">
        <f t="shared" si="180"/>
        <v>75.484897041589932</v>
      </c>
      <c r="AWT11" s="23">
        <f t="shared" si="180"/>
        <v>75.471979397081384</v>
      </c>
      <c r="AWU11" s="23">
        <f t="shared" si="180"/>
        <v>75.508248625229129</v>
      </c>
      <c r="AWV11" s="23">
        <f t="shared" si="180"/>
        <v>75.558398845126078</v>
      </c>
      <c r="AWW11" s="23">
        <f t="shared" si="180"/>
        <v>75.643413980089463</v>
      </c>
      <c r="AWX11" s="23">
        <f t="shared" si="180"/>
        <v>75.483621161547134</v>
      </c>
      <c r="AWY11" s="23">
        <f t="shared" si="180"/>
        <v>75.589134338484456</v>
      </c>
      <c r="AWZ11" s="23">
        <f t="shared" ref="AWZ11:AYS11" si="181">((5/AWZ$10)*100)</f>
        <v>75.590015938274419</v>
      </c>
      <c r="AXA11" s="23">
        <f t="shared" si="181"/>
        <v>75.570095665871591</v>
      </c>
      <c r="AXB11" s="23">
        <f t="shared" si="181"/>
        <v>75.591766391058727</v>
      </c>
      <c r="AXC11" s="23">
        <f t="shared" si="181"/>
        <v>75.454861589538666</v>
      </c>
      <c r="AXD11" s="23">
        <f t="shared" si="181"/>
        <v>75.517843137611692</v>
      </c>
      <c r="AXE11" s="23">
        <f t="shared" si="181"/>
        <v>75.347904458857158</v>
      </c>
      <c r="AXF11" s="23">
        <f t="shared" si="181"/>
        <v>75.53359868509952</v>
      </c>
      <c r="AXG11" s="23">
        <f t="shared" si="181"/>
        <v>75.548248943408936</v>
      </c>
      <c r="AXH11" s="23">
        <f t="shared" si="181"/>
        <v>75.631031755286145</v>
      </c>
      <c r="AXI11" s="23">
        <f t="shared" si="181"/>
        <v>75.597762306235737</v>
      </c>
      <c r="AXJ11" s="23">
        <f t="shared" si="181"/>
        <v>75.65294239630424</v>
      </c>
      <c r="AXK11" s="23">
        <f t="shared" si="181"/>
        <v>75.619759478990616</v>
      </c>
      <c r="AXL11" s="23">
        <f t="shared" si="181"/>
        <v>75.722071712919188</v>
      </c>
      <c r="AXM11" s="23">
        <f t="shared" si="181"/>
        <v>75.71585411412093</v>
      </c>
      <c r="AXN11" s="23">
        <f t="shared" si="181"/>
        <v>75.898956166120485</v>
      </c>
      <c r="AXO11" s="23">
        <f t="shared" si="181"/>
        <v>75.851783478413211</v>
      </c>
      <c r="AXP11" s="23">
        <f t="shared" si="181"/>
        <v>75.87897889284929</v>
      </c>
      <c r="AXQ11" s="23">
        <f t="shared" si="181"/>
        <v>75.805235803875561</v>
      </c>
      <c r="AXR11" s="23">
        <f t="shared" si="181"/>
        <v>75.966662499420067</v>
      </c>
      <c r="AXS11" s="23">
        <f t="shared" si="181"/>
        <v>75.980054352243528</v>
      </c>
      <c r="AXT11" s="23">
        <f t="shared" si="181"/>
        <v>76.040314422289441</v>
      </c>
      <c r="AXU11" s="23">
        <f t="shared" si="181"/>
        <v>76.066890970085282</v>
      </c>
      <c r="AXV11" s="23">
        <f t="shared" si="181"/>
        <v>76.059947183129523</v>
      </c>
      <c r="AXW11" s="23">
        <f t="shared" si="181"/>
        <v>76.099710961374313</v>
      </c>
      <c r="AXX11" s="23">
        <f t="shared" si="181"/>
        <v>76.172665045152002</v>
      </c>
      <c r="AXY11" s="23">
        <f t="shared" si="181"/>
        <v>76.125611449291952</v>
      </c>
      <c r="AXZ11" s="23">
        <f t="shared" si="181"/>
        <v>76.211510135433258</v>
      </c>
      <c r="AYA11" s="23">
        <f t="shared" si="181"/>
        <v>76.191032837291445</v>
      </c>
      <c r="AYB11" s="23">
        <f t="shared" si="181"/>
        <v>76.223561796820277</v>
      </c>
      <c r="AYC11" s="23">
        <f t="shared" si="181"/>
        <v>76.269188634504175</v>
      </c>
      <c r="AYD11" s="23">
        <f t="shared" si="181"/>
        <v>76.314662832821043</v>
      </c>
      <c r="AYE11" s="23">
        <f t="shared" si="181"/>
        <v>76.392979312366393</v>
      </c>
      <c r="AYF11" s="23">
        <f t="shared" si="181"/>
        <v>76.365643527934139</v>
      </c>
      <c r="AYG11" s="23">
        <f t="shared" si="181"/>
        <v>76.437015898899304</v>
      </c>
      <c r="AYH11" s="23">
        <f t="shared" si="181"/>
        <v>76.495048449728998</v>
      </c>
      <c r="AYI11" s="23">
        <f t="shared" si="181"/>
        <v>76.506946693527581</v>
      </c>
      <c r="AYJ11" s="23">
        <f t="shared" si="181"/>
        <v>76.551556188670972</v>
      </c>
      <c r="AYK11" s="23">
        <f t="shared" si="181"/>
        <v>76.628771914460387</v>
      </c>
      <c r="AYL11" s="23">
        <f t="shared" si="181"/>
        <v>76.581510528507948</v>
      </c>
      <c r="AYM11" s="23">
        <f t="shared" si="181"/>
        <v>76.638792853858334</v>
      </c>
      <c r="AYN11" s="23">
        <f t="shared" si="181"/>
        <v>76.624238472299567</v>
      </c>
      <c r="AYO11" s="23">
        <f t="shared" si="181"/>
        <v>76.713772090850824</v>
      </c>
      <c r="AYP11" s="23">
        <f t="shared" si="181"/>
        <v>76.666636203102613</v>
      </c>
      <c r="AYQ11" s="23">
        <f t="shared" si="181"/>
        <v>76.775250094531643</v>
      </c>
      <c r="AYR11" s="23">
        <f t="shared" si="181"/>
        <v>76.786380290033122</v>
      </c>
      <c r="AYS11" s="23">
        <f t="shared" si="181"/>
        <v>76.862188792414116</v>
      </c>
      <c r="AYT11" s="93"/>
      <c r="AYU11" s="94"/>
      <c r="AYV11" s="94"/>
    </row>
    <row r="12" spans="1:1350" ht="36.6" x14ac:dyDescent="0.7">
      <c r="B12" s="19" t="s">
        <v>21</v>
      </c>
      <c r="NZ12" s="35"/>
      <c r="AKY12" s="19" t="s">
        <v>45</v>
      </c>
      <c r="ATP12" s="90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</row>
    <row r="13" spans="1:1350" ht="36.6" x14ac:dyDescent="0.7">
      <c r="B13" s="19" t="s">
        <v>25</v>
      </c>
      <c r="ATP13" s="90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</row>
    <row r="14" spans="1:1350" ht="36.6" x14ac:dyDescent="0.7">
      <c r="ATP14" s="90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W14" s="35"/>
    </row>
    <row r="15" spans="1:1350" ht="36.6" x14ac:dyDescent="0.7">
      <c r="ATP15" s="90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</row>
    <row r="16" spans="1:1350" ht="36.6" x14ac:dyDescent="0.7">
      <c r="ATP16" s="90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</row>
  </sheetData>
  <mergeCells count="1">
    <mergeCell ref="AYT1:AYV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2026-09-02T16:22:16Z</dcterms:modified>
</cp:coreProperties>
</file>