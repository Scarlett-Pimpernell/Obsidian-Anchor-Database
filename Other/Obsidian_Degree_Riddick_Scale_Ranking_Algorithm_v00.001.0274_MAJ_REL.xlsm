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micha\Dropbox\Projects - Personal\Partnerships\0. Warwick University\Obsidian Degree\"/>
    </mc:Choice>
  </mc:AlternateContent>
  <xr:revisionPtr revIDLastSave="0" documentId="8_{A110A602-EEFB-478A-9BD8-B41305B3585D}" xr6:coauthVersionLast="47" xr6:coauthVersionMax="47" xr10:uidLastSave="{00000000-0000-0000-0000-000000000000}"/>
  <bookViews>
    <workbookView xWindow="-108" yWindow="-108" windowWidth="23256" windowHeight="12576" xr2:uid="{00000000-000D-0000-FFFF-FFFF00000000}"/>
  </bookViews>
  <sheets>
    <sheet name="Adherent_Attainments" sheetId="1" r:id="rId1"/>
    <sheet name="Riddick_Scale_Ranks_Config" sheetId="13" r:id="rId2"/>
    <sheet name="Scholar_Feedback" sheetId="2" r:id="rId3"/>
    <sheet name="Ranks_By_Degree" sheetId="6" r:id="rId4"/>
    <sheet name="Ranks_By_Segment_Or_Year" sheetId="7" r:id="rId5"/>
    <sheet name="Ranks_By_Module" sheetId="9" r:id="rId6"/>
    <sheet name="Ranks_By_Assessment" sheetId="11" r:id="rId7"/>
  </sheets>
  <definedNames>
    <definedName name="_xlnm._FilterDatabase" localSheetId="0" hidden="1">Adherent_Attainments!$A$10:$BA$10</definedName>
    <definedName name="_xlnm._FilterDatabase" localSheetId="2" hidden="1">Scholar_Feedback!$A$7:$BE$7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<sst xmlns="http://schemas.openxmlformats.org/spreadsheetml/2006/main" count="1346" uniqueCount="311">
  <si>
    <t>Segment/Year_Name</t>
  </si>
  <si>
    <t>Segment/Year_ID</t>
  </si>
  <si>
    <t>University_ID</t>
  </si>
  <si>
    <t>University_Name</t>
  </si>
  <si>
    <t>Department/School_Name</t>
  </si>
  <si>
    <t>Degree_ID</t>
  </si>
  <si>
    <t>Degree_Name</t>
  </si>
  <si>
    <t>Department/School_ID</t>
  </si>
  <si>
    <t>Module_ID</t>
  </si>
  <si>
    <t>Module_Name</t>
  </si>
  <si>
    <t>Assignment/Exam/Dissertation/Placement_ID</t>
  </si>
  <si>
    <t>Assignment/Exam/Dissertation/Placement_Name</t>
  </si>
  <si>
    <t>Instance_ID</t>
  </si>
  <si>
    <t>Nurture_'Enviro-Context'_Michaels</t>
  </si>
  <si>
    <t>Nature_'Enviro-Context'_Michaels</t>
  </si>
  <si>
    <t>Hard_Skills_Michaels</t>
  </si>
  <si>
    <t>Participation_Behaviour_Michaels</t>
  </si>
  <si>
    <t>Adherent_ID</t>
  </si>
  <si>
    <t>Adherent_Name</t>
  </si>
  <si>
    <t>'Soft'_Skills_Michaels</t>
  </si>
  <si>
    <t>'Promptness'_Behaviour_Michaels</t>
  </si>
  <si>
    <t>Scholar_ID</t>
  </si>
  <si>
    <t>Scholar_Name</t>
  </si>
  <si>
    <t>State</t>
  </si>
  <si>
    <t>Attainment_Dimension</t>
  </si>
  <si>
    <t>Admin_Dimension</t>
  </si>
  <si>
    <t>Reporting_Dimension</t>
  </si>
  <si>
    <t>Delivery_Dimension</t>
  </si>
  <si>
    <t>Development_Dimension</t>
  </si>
  <si>
    <t>Management_Dimension</t>
  </si>
  <si>
    <t>Government_Dimension</t>
  </si>
  <si>
    <t>Organisation_Dimension</t>
  </si>
  <si>
    <t>Expertise_Dimension</t>
  </si>
  <si>
    <t>Formation_Dimension</t>
  </si>
  <si>
    <t>Commentary_Where_Helpful</t>
  </si>
  <si>
    <t>Feedback_Dimension</t>
  </si>
  <si>
    <t>Pace_Dimension</t>
  </si>
  <si>
    <t>Loop_Dimension</t>
  </si>
  <si>
    <t>OPTIONAL_Feedback_Type_ID</t>
  </si>
  <si>
    <t>OPTIONAL_Feedback_Type_Name</t>
  </si>
  <si>
    <t>Obsidian Degree Matrix For Logging Scholar Feedback Michaels</t>
  </si>
  <si>
    <t>Consideration_For_Immortalisation_In_the_Confederation_Canon_Of_Legend</t>
  </si>
  <si>
    <t>Honest_Salary_Valuation</t>
  </si>
  <si>
    <t>Predicted_Date_Of_Departure_From_This_Temple/World</t>
  </si>
  <si>
    <t>Stanford University</t>
  </si>
  <si>
    <t>Sichula Business School</t>
  </si>
  <si>
    <t>Obsidian</t>
  </si>
  <si>
    <t>16/05/2023</t>
  </si>
  <si>
    <t>Free-prose, numbers, abstentions, empties</t>
  </si>
  <si>
    <t>On Track</t>
  </si>
  <si>
    <t>Passed Audit</t>
  </si>
  <si>
    <t>OPTIONAL_Instance_ID</t>
  </si>
  <si>
    <t>OPTIONAL_Instance_Deadline_Date</t>
  </si>
  <si>
    <t>01/01/2023</t>
  </si>
  <si>
    <t>Module_Weighting</t>
  </si>
  <si>
    <t>Segment/Year_Weighting</t>
  </si>
  <si>
    <t>Yes</t>
  </si>
  <si>
    <t>Intentional difference in creation dates below, even though the element in the column University_Name (to the right) is the same element. This is because the second five rows were logged on the next day, and so we want to track when individual changes were made, in order to help with auditing.</t>
  </si>
  <si>
    <t>Add any other pick list items that you want to the cell validations below, using the excel functionality if you like.</t>
  </si>
  <si>
    <t>01/04/2022</t>
  </si>
  <si>
    <t>AN768861M</t>
  </si>
  <si>
    <t>Adherent_Degree_Commencement_Date</t>
  </si>
  <si>
    <t>Nota Bene: The module Scholars can choose to either maintain a central collated feedback matrix, or let each student maintain their own personal/grouped feedback matrix (believe me, this will still be very useful to some Adherents, even if the Scholar remains rather 'non-plussed'), or do both!</t>
  </si>
  <si>
    <t>These dates below can be different within the same delivery element, because some students may be fast-tracked, some may be on time, and others may be given lateness grace for whatever reasons. A terminal round-robin repeat should probably fall under a different delivery element though.</t>
  </si>
  <si>
    <t>The 2 example Lilis below are different people with the same name, which is why the corresponding ID column contains different values.</t>
  </si>
  <si>
    <t>Nota Bene 02: The red column headers indicate that filling in those columns is optional, and should only be done, if for example the Scholar wants to keep track of multiple specific things within a delivery item, that would benefit from separate consideration (for example, you would fill in the red columns if there are going to be multiple loops of feedback, say one every week or month, for the same delivery item). Finally, I think it would be best if eventually, you turned this spreadsheet into a web application (could even be a nifty ready-to-hand Adherent assignment... Don't you just love free tech consultancy!).</t>
  </si>
  <si>
    <t>Assignment/Exam/Dissertation/Placement_Commencement_Date</t>
  </si>
  <si>
    <t>Scholar_Official_Civil_Identifier_(National_Insurance_Number_Or_Other)</t>
  </si>
  <si>
    <t>JS849311H</t>
  </si>
  <si>
    <t>01/04/2024</t>
  </si>
  <si>
    <t>Adherent_Official_Civil_Identifier_(National_Insurance_Number_Or_Other)</t>
  </si>
  <si>
    <t>Scholar_Employment_Commencement_Date</t>
  </si>
  <si>
    <t>Obsidian Degree Matrix For Logging and Ranking Adherent Attainment Michaels</t>
  </si>
  <si>
    <t>Adherent_Assignment/Exam/Dissertation/Placement_Deadline_Date</t>
  </si>
  <si>
    <t>WARNING 02: IF YOU FEEL LIKE YOU HAVE CORRUPTED THE SPREADSHEET BEYOND RECOVERY (BECAUSE THE GENERATE RIDDICK SCALE RANKS BUTTON FAILS TO COMPLETE SUCCESSFULLY DESPITE TRYING TO ADDRESS ALL POP-UP MESSAGE BOX GUIDANCE I.E YOU SEE THE MESSAGE "There has been an inexplicable problem!"), THEN AS A FIRST CALL, PLEASE MAKE SURE THAT YOU DON'T HAVE ANY HIDDEN COLUMNS OR ROWS (CHECK FOR REFERENCE GAPS E.G. A COLUM MARGIN REFERENCE JUMPING STRAIGHT FROM D TO F ETC_)!!! IF YOU STILL HAVE NO LUCK, CONSIDER RE-BUILDING THE SPREADSHEET FROM WITHIN A NEWLY DOWNLOADED VERSION OF THIS FILE, BY PASTING IN THE CORRESPONDING TABLE BODY DATA INTO THE NEWLY DOWNLOADED COPY OF THE FILE, AND PLEASE CHECK THAT THE COLUMN BODY CONTENTS MATCH UP WITH THE CORRECT COLUMN HEADERS ONCE THIS PASTING IS COMPLETE.</t>
  </si>
  <si>
    <t>$A$11</t>
  </si>
  <si>
    <t>$A$12</t>
  </si>
  <si>
    <t>$A$13</t>
  </si>
  <si>
    <t>$A$14</t>
  </si>
  <si>
    <t>$E$11</t>
  </si>
  <si>
    <t>$E$12</t>
  </si>
  <si>
    <t>$E$13</t>
  </si>
  <si>
    <t>$E$14</t>
  </si>
  <si>
    <t>$I$11</t>
  </si>
  <si>
    <t>$I$12</t>
  </si>
  <si>
    <t>$I$13</t>
  </si>
  <si>
    <t>$I$14</t>
  </si>
  <si>
    <t>$M$11</t>
  </si>
  <si>
    <t>$M$12</t>
  </si>
  <si>
    <t>$M$13</t>
  </si>
  <si>
    <t>$M$14</t>
  </si>
  <si>
    <t>$R$11</t>
  </si>
  <si>
    <t>$R$12</t>
  </si>
  <si>
    <t>$R$13</t>
  </si>
  <si>
    <t>$R$14</t>
  </si>
  <si>
    <t>$X$11</t>
  </si>
  <si>
    <t>$X$12</t>
  </si>
  <si>
    <t>$X$13</t>
  </si>
  <si>
    <t>$X$14</t>
  </si>
  <si>
    <t>$AC$11</t>
  </si>
  <si>
    <t>$AC$12</t>
  </si>
  <si>
    <t>$AC$13</t>
  </si>
  <si>
    <t>$AC$14</t>
  </si>
  <si>
    <t>MACRO_ALGORITHM</t>
  </si>
  <si>
    <t>WARNING 03: ABSOLUTELY UNDER NO CIRCUMSTANCES ALTER THE VBA MACRO SOURCE CODE IN THIS FILE, UNLESS YOU REALLY, REALLY KNOW WHAT YOU'RE DOING!... AND, PLEASE DON'T USE THE LAST ROW OF THIS WORKSHEET, AS IT MAY CAUSE AN ALGOIRHTM EARLY TERMINATION ERROR! I HAVE BAKED INTO THE RIDDICK SCALE RANKING ALGORITHM, A BASIC AUTO-AUDIT FUNCTIONALITY, THAT WILL PROMPT THE USER WHERE ISSUES WITH THE SPREADSHEET ARE, AS WELL AS TIPS TO RESOLVE.YOU MAY WANT TO EXPAND OR AMEND THE AUTO-AUDIT FUNCTIONALITY IF YOU HAVE ACCESS TO HIGHLY KNOWLEDGEABLE, SKILLED, AND EXPERIENCED EXCEL VBA HUMAN CAPABILITY. ADDING EXTRA BASIC VALIDATION RULES ON 'FREE' COLUMNS SHOULD BE READILY FEASIBLE.</t>
  </si>
  <si>
    <t>1st Rank: Supreme - Lord Marshal.</t>
  </si>
  <si>
    <t>2nd Rank: Ultra - Furyan.</t>
  </si>
  <si>
    <t>3rd Rank: Adept - Elemental.</t>
  </si>
  <si>
    <t>4th Rank: Useful - Necromonger.</t>
  </si>
  <si>
    <t>Automatic</t>
  </si>
  <si>
    <t>Normalise Awarded Ranks (1) Or Simply Apply Blunt Boundaries As Below (0)?</t>
  </si>
  <si>
    <t>5th Rank: Potential - Neophyte.</t>
  </si>
  <si>
    <t>Fallen Out Of Favour (actually an accolade in itself).</t>
  </si>
  <si>
    <t>6th Rank:</t>
  </si>
  <si>
    <t>9th Rank:</t>
  </si>
  <si>
    <t>8th Rank:</t>
  </si>
  <si>
    <t>7th Rank:</t>
  </si>
  <si>
    <t>9 classes/ranks</t>
  </si>
  <si>
    <t>8 classes/ranks</t>
  </si>
  <si>
    <t>7 classes/ranks</t>
  </si>
  <si>
    <t>6 classes/ranks</t>
  </si>
  <si>
    <t>5 classes/ranks</t>
  </si>
  <si>
    <t>4 classes/ranks</t>
  </si>
  <si>
    <t>3 classes/ranks</t>
  </si>
  <si>
    <t>Not Applicable</t>
  </si>
  <si>
    <t>Instance_Date</t>
  </si>
  <si>
    <t>Grade Michaels % Lower Boundaries (Highest percentages at the top i.e. this column should be in descending order {Apart from the last cell [Automatic]})</t>
  </si>
  <si>
    <t>2 classes/ranks</t>
  </si>
  <si>
    <t>NORMALISED-BOUNDARY Riddick Scale Ranks (The extra DNF (Did Not Finish) is handled separately in the source code)... You can shape your grade distribution however you like by using numbers of zero or greater, but please make sure, that if you provide a lower grade boundary on the Riddick_Scale_Ranks_Config, that this matches up with the used factors below i.e. if there is a grade lower boundary percentage, then that factor should probably have a value above zero, here!... USED IF DISTRIBUTION SWITCH ABOVE-TO-THE-LEFT IS SET TO ONE (1).</t>
  </si>
  <si>
    <t>BLUNT-BOUNDARY Riddick Scale Ranks  (The extra DNF (Did Not Finish) is handled separately in the source code)... USED IF DISTRIBUTION SWITCH ABOVE SET TO ZERO (0).</t>
  </si>
  <si>
    <t>EQUALITY SWITCH</t>
  </si>
  <si>
    <t>DISTRIBUTION SWITCH</t>
  </si>
  <si>
    <t>Distribution Switch (Please set to either 1 or 0 depending on whether you want normalised or blunt classes/ranks)</t>
  </si>
  <si>
    <t>FACTORS (These should increase exponantially up towards the distribution quartile points, and then only increase logarithmically up towards the distribution midpoint)... Please see cells to the right of this table for alternatives based on different class/rank counts.... just copy and paste in the column you need to the right hand-table.</t>
  </si>
  <si>
    <t>.</t>
  </si>
  <si>
    <t>10 classes/ranks</t>
  </si>
  <si>
    <t>!!!!!PRESS THIS BUTTON WHEN DATA IN THE TABLE BELOW IS READY, AND THE CONFIG SETTINGS IN THE Riddick_Scale_Ranks_Config WORKSHEET ARE OPTIMISED!!!!!</t>
  </si>
  <si>
    <t>Segment/Year_Weighting_Percentage</t>
  </si>
  <si>
    <t>Module_Weighting_Percentage</t>
  </si>
  <si>
    <t>Assignment/Exam/Dissertation/Placement_Weighting_Percentage</t>
  </si>
  <si>
    <t>/\                    /\                    /\</t>
  </si>
  <si>
    <t>\/                    \/                    \/</t>
  </si>
  <si>
    <t>WARNING 01: PLEASE DO NOT CHANGE THE WORKSHEET TAB NAMES, OR THE COLUMN HEADER CELL VALUES ON THIS WORKSHEETS, OR THE OVERALL TABLE STRUCTURES BY DELETING OR INSERTING ROWS OR COLUMNS. OTHERWISE YOU MAY CORRUPT THE SPREADSHEET DUE TO THE NATURE OF THE IMPLEMENTATION OF THE RANKING ALGORITHM IN MICROSOFT EXCEL. ALSO, PLEASE BE AWARE THAT I HAVE BAKED-IN DUE DILIGENCE AND ANTI-DISCRIMINATION CHECKS (PLEASE SEE THE MACRO VBA SOURCE CODE FOR FURTHER DETAILS)... ALSO, ALSO... USER-MERGED CELLS CAN CRASH THE RIDDICK SCALE RANKING MACRO ALGORITHM.</t>
  </si>
  <si>
    <t>Assessment_Actual_Grade_Michaels_Percentage_Unweighted</t>
  </si>
  <si>
    <t>Assessment_Include_In_Final_Rank_?</t>
  </si>
  <si>
    <t>Assessment_Actual_Grade_Michaels_Percentage</t>
  </si>
  <si>
    <t>GUIDANCE 01: For example, if you only require 5 grade classes/ranks, then simply set just 4 grade micheals % lower boundaries in the left-hand table below (if normalised switch set to 0), or  just 4 factors in the right-hand table below (if normalised switch set to 1); and then put Not Applicable in all the uneeded classes/ranks (Other than fallen out of favour lower boundary or factor... This should always have the value: Automatic)... Likewise, for example, if you want only 4 grade classes/ranks, then simply set just 3 lower boundaries or factors (depending on the distribution switch value to the upper-left, which indicates blunt (0) or normalised (1))... Feel free to set your own class/rank names (which must be unique across the 10 named ranks), but maybe make sure that those names on the left-hand table match with those on the right-hand table, otherwise you may cause confusion!</t>
  </si>
  <si>
    <t>Assessment_Predicted_Grade_Michaels_Percentage</t>
  </si>
  <si>
    <t>Assessment_Predicted_Grade_Michaels_Percentage_Unweighted</t>
  </si>
  <si>
    <t>ASSESSMENT_RIDDICK_SCALE_ORDER</t>
  </si>
  <si>
    <t>ASSESSMENT_RIDDICK_SCALE_RANK</t>
  </si>
  <si>
    <t>MODULE_PREDICTED_GRADE_MICHAELS_PERCENTAGE_WEIGHTED</t>
  </si>
  <si>
    <t>MODULE_ACTUAL_GRADE_MICHAELS_PERCENTAGE_WEIGHTED</t>
  </si>
  <si>
    <t>MODULE_ASSESSMENT_INCLUDE_IN_FINAL_RANK_?</t>
  </si>
  <si>
    <t>MODULE_RIDDICK_SCALE_ORDER</t>
  </si>
  <si>
    <t>MODULE_RIDDICK_SCALE_RANK</t>
  </si>
  <si>
    <t>Equality Switch (Please set to either 1 or 0 depending on whether you want clement or partial orders and classes/ranks)</t>
  </si>
  <si>
    <t>Show Clemency To Awarded Orders and Ranks (1) Or Simply Settle For Partiality (0)?</t>
  </si>
  <si>
    <t>DEGREE_PREDICTED_GRADE_MICHAELS_PERCENTAGE_WEIGHTED</t>
  </si>
  <si>
    <t>DEGREE_ACTUAL_GRADE_MICHAELS_PERCENTAGE_WEIGHTED</t>
  </si>
  <si>
    <t>DEGREE_ASSESSMENT_INCLUDE_IN_FINAL_RANK_?</t>
  </si>
  <si>
    <t>DEGREE_RIDDICK_SCALE_ORDER</t>
  </si>
  <si>
    <t>DEGREE_RIDDICK_SCALE_RANK</t>
  </si>
  <si>
    <t>NOTA BENE 01: IDs are compound concatenations of appropriate levels of columns to the left of a given row element, and as such IDs therefore are unique matrix-wide. For human-error minimisation reasons, I have decided to implement an Auto-ID assignment technique (which gets generated upon execution of the macro algorithm button, and produces the IDs and associated instance column data in the table body columns which are filled as black background {so don't try and edit these columns yourself, as they will likely be overwritten at some point}). Either way the name columns can be used to designate a separate instance which has the same name, by prefixing or suffixing extra appropriate identifying characters (In the example below, assume that there are two different departments or schools delivering the same Obsidian Degree, but they are either not doing this jointly, or they are delivering a slightly different module-set, and so the Degree_Name is the same, but the corresponding values must be different). It is always wise to create regular backup copies of this file while in use (with a date-time-stamp i.e. just add the date either before or after the file name when saving), and this need to backup copies of the file is especially important at delivery boundaries! Also, please bare in mind, that some of the column titles may have hidden apostrophes/single-quotes, which may cause spreadsheet or database, integration column matching issues. Additionally, it is advisable not to create multiple rows for admin domain contents if all other cells in the row would be the same as another already existing row. Finally, the type of probability algorithm implemented in this spreadsheet is in this case contiguous vanilla Michaelian probability, although a pseudo-quantum (with parameter density) mechanism is possible (please see details on the Riddick_Scale_Ranks_Config worksheet)... And please be aware that unless you have a number of element rows in the table below, of at least around the square power of the number of classes/ranks which are set on the , then your resulting Riddick Scale Ranks distribution will be 'imperfect'.</t>
  </si>
  <si>
    <t>NOTA BENE 03: The predicted grade Michaels percentage column will only affect the Riddick Scale Order columns while the Equality switch is set to false/0/off on the Riddick_Scale_Ranks_Config worksheet. Predicted grades will never affect the Riddick Scale Rank column. Please be aware that the higher Riddick Scale Ranks will only be awarded by the algorithm, if there is a sufficient minimum number of elements being graded. Please also be aware that extra wroksheets may have been added if the necessary worksheet names have been changed by a user, so please do a quick check for seemingly duplicate worksheets, especially config and Riddick Scale Rank Outputs. If your combined weightings columns, or grade Michaels percentage columns, seem slightly off, then try checking your Adherent_Attainments worksheet table values at multiple decimal places, you may find some unrealised/invisible digits are skewing results... This spreadsheet encompasses a sensible process for grading Temple Adherents who are eligible for the Ascension Ceremony... Please make sure where possible, that all equal total marks are given the 'benefit of the doubt clemency' where same mark peers would fall across grade boundaries, such that all same mark peers are all given the higher of the two boundary grades (this can be achieved using the Riddick_Scale_Ranks_Config worksheet). This same-mark 'peer-group' issue, is one reason why it is important that department-heads/school-deans encourage their faculty to mark as fairly as possible, including, but also in between, standard grade boundaries, making full use of at least all three percentage digits (the same applies for the weighting columns), and that administration staff perform all grade weighting and averaging calculations to 6 decimal places...After generating Riddick Scale Ranks, it would be wise to check the aggregation roll-up worksheets in order to make sure that there are no duplicate elements or unexpected classes/ranks... The overall process for grading students will only work at full effectiveness, if you provide digital degree certificates which you keep up to date on an annual basis.... Finally, it will be necessary to perform an inter-graduation normalisation governance exercise every 5 years or so, where 3 students are randomly selected from each possible final awarded grade-pool (first, or upper-second etc.), from this current year, as well as another 3 students from the last decade, and another 3 students from the decade before that, and then a governance assessment should be carried out, to make sure that percentage mark grading for each individual piece of comparable and commensurate submitted assignment, does actually 'reflect' the 'quality of work', all whilst fairly taking into account both knowledge and technology 'drift'/developments across graduation outtakes. If the marks given by faculty don't seem acceptably consistent, then it will be necessary to log this inconsistency, communicate this problem to the wider departmental/school faculty, and then shift all the final awarded graduation grades for suspect graduation outakes accordingly, by making an 'adjustment' via the digital degree platform (assuming you have this capability deployed and available).</t>
  </si>
  <si>
    <t>SEGMENT_OR_YEAR_COMBINED_DEGREE_WEIGHTING_(The proportion of the degree that this segment or year is worth)</t>
  </si>
  <si>
    <t>MODULE_COMBINED_DEGREE_WEIGHTING_(The proportion of the degree that this module is worth)</t>
  </si>
  <si>
    <t>MODULE_PEER_COUNT</t>
  </si>
  <si>
    <t>SEGMENT_OR_YEAR_PEER_COUNT</t>
  </si>
  <si>
    <t>SEGMENT_OR_YEAR_PREDICTED_GRADE_MICHAELS_PERCENTAGE_WEIGHTED</t>
  </si>
  <si>
    <t>SEGMENT_OR_YEAR_ACTUAL_GRADE_MICHAELS_PERCENTAGE_WEIGHTED</t>
  </si>
  <si>
    <t>SEGMENT_OR_YEAR_ASSESSMENT_INCLUDE_IN_FINAL_RANK_?</t>
  </si>
  <si>
    <t>SEGMENT_OR_YEAR_RIDDICK_SCALE_ORDER</t>
  </si>
  <si>
    <t>SEGMENT_OR_YEAR_RIDDICK_SCALE_RANK</t>
  </si>
  <si>
    <t>$A$15</t>
  </si>
  <si>
    <t>$A$16</t>
  </si>
  <si>
    <t>$A$17</t>
  </si>
  <si>
    <t>$A$18</t>
  </si>
  <si>
    <t>$E$15</t>
  </si>
  <si>
    <t>$E$16</t>
  </si>
  <si>
    <t>$E$17</t>
  </si>
  <si>
    <t>$E$18</t>
  </si>
  <si>
    <t>$I$15</t>
  </si>
  <si>
    <t>$I$16</t>
  </si>
  <si>
    <t>$I$17</t>
  </si>
  <si>
    <t>$I$18</t>
  </si>
  <si>
    <t>$M$15</t>
  </si>
  <si>
    <t>$M$16</t>
  </si>
  <si>
    <t>$M$17</t>
  </si>
  <si>
    <t>$M$18</t>
  </si>
  <si>
    <t>$R$15</t>
  </si>
  <si>
    <t>$R$16</t>
  </si>
  <si>
    <t>$R$17</t>
  </si>
  <si>
    <t>$R$18</t>
  </si>
  <si>
    <t>$X$15</t>
  </si>
  <si>
    <t>$X$16</t>
  </si>
  <si>
    <t>$X$17</t>
  </si>
  <si>
    <t>$X$18</t>
  </si>
  <si>
    <t>$AC$15</t>
  </si>
  <si>
    <t>$AC$16</t>
  </si>
  <si>
    <t>$AC$17</t>
  </si>
  <si>
    <t>$AC$18</t>
  </si>
  <si>
    <t>MODULE_WEIGHTING</t>
  </si>
  <si>
    <t>SEGMENT/YEAR_WEIGHTING</t>
  </si>
  <si>
    <t>$AH$11</t>
  </si>
  <si>
    <t>$AH$12</t>
  </si>
  <si>
    <t>$AH$13</t>
  </si>
  <si>
    <t>$AH$14</t>
  </si>
  <si>
    <t>$AH$15</t>
  </si>
  <si>
    <t>$AH$16</t>
  </si>
  <si>
    <t>$AH$17</t>
  </si>
  <si>
    <t>$AH$18</t>
  </si>
  <si>
    <t>NOTA BENE 02: Extend the matrix downwards as needed... You must copy down the correct table body column settings using the format painter tool, or copy and paste, on a column by column basis. Make sure that if you have multiple Scholars per delivery item, that you make admin aware of this every time you submit deadline Michaels to them. Individual columns can have duplicate values in them, but please remember that the blue dimensions (indicated in the column headers) form the critical anchor of the matrix. If these blue columns, when concatenated together horizontally, do not hold unique values when checked vertically all the way down the table, any row against any other row, then someone has committed a logging error somewhere, and it would be wise to remedy this administrative problem pronto, if/when discovered during regular weekly?, mothly?, termly, or annual audits! Please notice the dark blue coloured column headers. This reminds the user of the slightly different use of dates. The green and purple dimensions (indicated in the column headers) can have duplicates when columns are combined together horizontally and checked vertically for uniqueness, although this should be quite rare. The black column headers indicate cells which will be used in order to generate the overall Riddick Scale Ranks (I have implemented a combined weighting algorithm here, so that grade Michaels percentages are equally weighted across the two combined weighting columns, such that if the two weighting cells for an individual row, have the values of 20% and 60%, then the overall combined weighting for the Riddick Scale Rank for that row, will be 12% (((20/100) * (60/100)) * 100)). This combined weighting indicates the share of the overall degree that an element is worth. The pink column header indicates unnecessary but useful data. The brown column headers indicate the most critical cells, which are obviously weighted based on the black and white column header calculations, as previously outlined (The inclusion column tells the algorithm whether to use the assignment {row} michaels, as part of the inputs for the final Riddick Scale Rank, and as such should be thoroughly checked on a row by row basis before doing anything with the generated grades). Also, please be very careful about forgetting or checking that you have filtered rows, as this can royally screw up your data if an inexperienced Excel user subsequently starts editing data in the cells without any appreciation of this feature. Finally, I think it would be best if eventually, you turned this spreadsheet into a web app, and as I'm now well advanced in the development process, I would actually only class this spreadsheet as a demonstrator, and possibly not ideal for production-grade use-cases, because Microsoft Excel Spreadsheets are simply too brittle for purpose (Delivering a dedicated app, could even be a nifty ready-to-hand Adherent group placement project... Don't you just love free tech consultancy!).</t>
  </si>
  <si>
    <t>$A$19</t>
  </si>
  <si>
    <t>$E$19</t>
  </si>
  <si>
    <t>$I$19</t>
  </si>
  <si>
    <t>$M$19</t>
  </si>
  <si>
    <t>$R$19</t>
  </si>
  <si>
    <t>$X$19</t>
  </si>
  <si>
    <t>$AC$19</t>
  </si>
  <si>
    <t>$AH$19</t>
  </si>
  <si>
    <t>Humanities &amp; Sciences</t>
  </si>
  <si>
    <t>+Year 1 (Art) - Obsidian Libation and 'Social Media' : 20%</t>
  </si>
  <si>
    <t>Thomas</t>
  </si>
  <si>
    <t>Actualising</t>
  </si>
  <si>
    <t>Assignment_01 - Microwave an egg</t>
  </si>
  <si>
    <t>Jephtah</t>
  </si>
  <si>
    <t>JD738294J</t>
  </si>
  <si>
    <t>Exceeding</t>
  </si>
  <si>
    <t>Exam_01 - Spirit Species and Varietals</t>
  </si>
  <si>
    <t>01/01/2024</t>
  </si>
  <si>
    <t>16/05/2024</t>
  </si>
  <si>
    <t>Under Audit</t>
  </si>
  <si>
    <t>+Year 2 Part B (Theology) - Foreign Semester, TOB, '1 Aeldari Crusade attempt', Chill/Plan : 10%</t>
  </si>
  <si>
    <t>Excelling</t>
  </si>
  <si>
    <t>Delivery_01 - Start a video blog</t>
  </si>
  <si>
    <t>Awaiting Start Of Delivery</t>
  </si>
  <si>
    <t>+Year 3 Part A (Science Theory) - (20K to 25K Word) Dissertation, Job Apps (If necessary) : 30%</t>
  </si>
  <si>
    <t>Ascending</t>
  </si>
  <si>
    <t>Dissertation_01 - God save the queen</t>
  </si>
  <si>
    <t>01/01/2025</t>
  </si>
  <si>
    <t>16/05/2025</t>
  </si>
  <si>
    <t>In Delivery</t>
  </si>
  <si>
    <t>+Year 3 Part B (Science Application) - Job Interviews (If necessary), 'Any Other Business' (Team/Individual) 'Placement' : 10%</t>
  </si>
  <si>
    <t>Lili</t>
  </si>
  <si>
    <t>OP728856P</t>
  </si>
  <si>
    <t>Placement_01 - JP Morgan</t>
  </si>
  <si>
    <t>Delivery Completed</t>
  </si>
  <si>
    <t>Suffering</t>
  </si>
  <si>
    <t>Assignment_02 - Critique a Cirque Du Solei extravaganza</t>
  </si>
  <si>
    <t>Mary</t>
  </si>
  <si>
    <t>Offering</t>
  </si>
  <si>
    <t>Exam_02 - Commodity market super-cycles</t>
  </si>
  <si>
    <t>Off Track</t>
  </si>
  <si>
    <t>Delivery_02 - Send a micro-satellite into space</t>
  </si>
  <si>
    <t>Ratified</t>
  </si>
  <si>
    <t>Play-Doh is squishy!</t>
  </si>
  <si>
    <t>Leading</t>
  </si>
  <si>
    <t>Communicated</t>
  </si>
  <si>
    <t>FC442619U</t>
  </si>
  <si>
    <t>Placement_02 - The UN_Part_A</t>
  </si>
  <si>
    <t>Challenged</t>
  </si>
  <si>
    <t>Assignment_01 - Bow to your Master</t>
  </si>
  <si>
    <t>Blaise</t>
  </si>
  <si>
    <t>LK892644W</t>
  </si>
  <si>
    <t>23/05/2023</t>
  </si>
  <si>
    <t>$A$20</t>
  </si>
  <si>
    <t>$A$21</t>
  </si>
  <si>
    <t>$E$20</t>
  </si>
  <si>
    <t>$E$21</t>
  </si>
  <si>
    <t>$I$20</t>
  </si>
  <si>
    <t>$I$21</t>
  </si>
  <si>
    <t>$M$20</t>
  </si>
  <si>
    <t>$M$21</t>
  </si>
  <si>
    <t>$R$20</t>
  </si>
  <si>
    <t>$R$21</t>
  </si>
  <si>
    <t>Thomas ::: JS849311H ::: 01/04/2022</t>
  </si>
  <si>
    <t>Lili ::: OP728856P ::: 01/04/2022</t>
  </si>
  <si>
    <t>Lili ::: FC442619U ::: 01/04/2022</t>
  </si>
  <si>
    <t>$X$20</t>
  </si>
  <si>
    <t>$X$21</t>
  </si>
  <si>
    <t>$AC$20</t>
  </si>
  <si>
    <t>$AC$21</t>
  </si>
  <si>
    <t>Assignment_01 - Microwave an egg ::: 01/01/2023</t>
  </si>
  <si>
    <t>Exam_01 - Spirit Species and Varietals ::: 01/01/2024</t>
  </si>
  <si>
    <t>Delivery_01 - Start a video blog ::: 01/01/2024</t>
  </si>
  <si>
    <t>Dissertation_01 - God save the queen ::: 01/01/2025</t>
  </si>
  <si>
    <t>Placement_01 - JP Morgan ::: 01/01/2025</t>
  </si>
  <si>
    <t>Assignment_02 - Critique a Cirque Du Solei extravaganza ::: 01/01/2023</t>
  </si>
  <si>
    <t>Exam_02 - Commodity market super-cycles ::: 01/01/2024</t>
  </si>
  <si>
    <t>Delivery_02 - Send a micro-satellite into space ::: 01/01/2024</t>
  </si>
  <si>
    <t>Placement_02 - The UN_Part_A ::: 01/01/2025</t>
  </si>
  <si>
    <t>Assignment_01 - Bow to your Master ::: 01/01/2023</t>
  </si>
  <si>
    <t>$AH$20</t>
  </si>
  <si>
    <t>$AH$21</t>
  </si>
  <si>
    <t>Jephtah ::: JD738294J ::: 01/04/2024</t>
  </si>
  <si>
    <t>Mary ::: AN768861M ::: 01/04/2024</t>
  </si>
  <si>
    <t>Blaise ::: LK892644W ::: 01/04/2024</t>
  </si>
  <si>
    <t>Obsidian_2</t>
  </si>
  <si>
    <t>+Year 2 Part A (Philosophy) - Obsidian Oblation : 30%_2</t>
  </si>
  <si>
    <t>+Year 2 Part B (Theology) - Foreign Semester, TOB, '1 Aeldari Crusade attempt', Chill/Plan : 10%_2</t>
  </si>
  <si>
    <t>+Year 3 Part A (Science Theory) - (20K to 25K Word) Dissertation, Job Apps (If necessary) : 30%_2</t>
  </si>
  <si>
    <t>+Year 3 Part B (Science Application) - Job Interviews (If necessary), 'Any Other Business' (Team/Individual) 'Placement' : 10%_2</t>
  </si>
  <si>
    <t>Hard Long Slog</t>
  </si>
  <si>
    <t>Dissertation_01 - God save the queen_2</t>
  </si>
  <si>
    <t>Dissertation_01 - God save the queen_2 ::: 01/01/2025</t>
  </si>
  <si>
    <t>Romanticising</t>
  </si>
  <si>
    <t>Begging</t>
  </si>
  <si>
    <t>Healing</t>
  </si>
  <si>
    <t>27/03/2023 22:13:22</t>
  </si>
  <si>
    <t>The Riddick Scale Ranks below, were generated by Windows User {Michael Sinyangwe}, using a {BLUNT-BOUNDARY} ranking technique, with {PARTIALITY} peer treatment... Generation completed just after {27/03/2023 22:13:22}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</si>
</sst>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
    <numFmt numFmtId="165" formatCode="#,##0.000000"/>
  </numFmts>
  <fonts count="18" x14ac:knownFonts="1">
    <font>
      <sz val="11"/>
      <color theme="1"/>
      <name val="Calibri"/>
      <family val="2"/>
      <scheme val="minor"/>
    </font>
    <font>
      <sz val="11"/>
      <color theme="0"/>
      <name val="Calibri"/>
      <family val="2"/>
      <scheme val="minor"/>
    </font>
    <font>
      <i/>
      <sz val="11"/>
      <color theme="1"/>
      <name val="Calibri"/>
      <family val="2"/>
      <scheme val="minor"/>
    </font>
    <font>
      <b/>
      <u/>
      <sz val="20"/>
      <color theme="1"/>
      <name val="Calibri"/>
      <family val="2"/>
      <scheme val="minor"/>
    </font>
    <font>
      <sz val="8"/>
      <name val="Calibri"/>
      <family val="2"/>
      <scheme val="minor"/>
    </font>
    <font>
      <b/>
      <sz val="11"/>
      <color rgb="FFFF0000"/>
      <name val="Calibri"/>
      <family val="2"/>
      <scheme val="minor"/>
    </font>
    <font>
      <sz val="11"/>
      <name val="Calibri"/>
      <family val="2"/>
      <scheme val="minor"/>
    </font>
    <font>
      <sz val="11"/>
      <color rgb="FFFF0000"/>
      <name val="Calibri"/>
      <family val="2"/>
      <scheme val="minor"/>
    </font>
    <font>
      <sz val="14"/>
      <color rgb="FFFF0000"/>
      <name val="Calibri"/>
      <family val="2"/>
      <scheme val="minor"/>
    </font>
    <font>
      <sz val="36"/>
      <color rgb="FF66FF33"/>
      <name val="Calibri"/>
      <family val="2"/>
      <scheme val="minor"/>
    </font>
    <font>
      <sz val="11"/>
      <color rgb="FF000000"/>
      <name val="Calibri"/>
      <family val="2"/>
      <scheme val="minor"/>
    </font>
    <font>
      <sz val="36"/>
      <color rgb="FFFF00FF"/>
      <name val="Calibri"/>
      <family val="2"/>
      <scheme val="minor"/>
    </font>
    <font>
      <sz val="36"/>
      <color rgb="FFFF0000"/>
      <name val="Calibri"/>
      <family val="2"/>
      <scheme val="minor"/>
    </font>
    <font>
      <b/>
      <u/>
      <sz val="20"/>
      <color rgb="FF00B050"/>
      <name val="Calibri"/>
      <family val="2"/>
      <scheme val="minor"/>
    </font>
    <font>
      <sz val="26"/>
      <color rgb="FF000000"/>
      <name val="Calibri"/>
      <family val="2"/>
    </font>
    <font>
      <b/>
      <sz val="20"/>
      <color rgb="FF00B050"/>
      <name val="Calibri"/>
      <family val="2"/>
      <scheme val="minor"/>
    </font>
    <font>
      <b/>
      <u/>
      <sz val="20"/>
      <color rgb="FF000000"/>
      <name val="Calibri"/>
      <family val="2"/>
      <scheme val="minor"/>
    </font>
    <font>
      <sz val="11"/>
      <color rgb="FF808080"/>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4" tint="0.39997558519241921"/>
        <bgColor indexed="64"/>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rgb="FF7030A0"/>
        <bgColor indexed="64"/>
      </patternFill>
    </fill>
    <fill>
      <patternFill patternType="solid">
        <fgColor theme="1" tint="0.499984740745262"/>
        <bgColor indexed="64"/>
      </patternFill>
    </fill>
    <fill>
      <patternFill patternType="solid">
        <fgColor rgb="FF0070C0"/>
        <bgColor indexed="64"/>
      </patternFill>
    </fill>
    <fill>
      <patternFill patternType="solid">
        <fgColor theme="1"/>
        <bgColor indexed="64"/>
      </patternFill>
    </fill>
    <fill>
      <patternFill patternType="solid">
        <fgColor rgb="FFCC9900"/>
        <bgColor indexed="64"/>
      </patternFill>
    </fill>
    <fill>
      <patternFill patternType="solid">
        <fgColor theme="0" tint="-0.14999847407452621"/>
        <bgColor indexed="64"/>
      </patternFill>
    </fill>
    <fill>
      <patternFill patternType="solid">
        <fgColor rgb="FF000000"/>
        <bgColor indexed="64"/>
      </patternFill>
    </fill>
    <fill>
      <patternFill patternType="solid">
        <fgColor rgb="FFFFFFFF"/>
        <bgColor indexed="64"/>
      </patternFill>
    </fill>
    <fill>
      <patternFill patternType="solid">
        <fgColor rgb="FFF6ACEB"/>
        <bgColor indexed="64"/>
      </patternFill>
    </fill>
    <fill>
      <patternFill patternType="solid">
        <fgColor rgb="FFD9D9D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808080"/>
      </left>
      <right style="thin">
        <color rgb="FF808080"/>
      </right>
      <top style="thin">
        <color rgb="FF808080"/>
      </top>
      <bottom style="thin">
        <color rgb="FF808080"/>
      </bottom>
      <diagonal/>
    </border>
    <border>
      <left style="thin">
        <color rgb="FFA6A6A6"/>
      </left>
      <right style="thin">
        <color rgb="FFA6A6A6"/>
      </right>
      <top style="thin">
        <color rgb="FFA6A6A6"/>
      </top>
      <bottom style="thin">
        <color rgb="FFA6A6A6"/>
      </bottom>
      <diagonal/>
    </border>
    <border>
      <left style="thick">
        <color rgb="FF66FF33"/>
      </left>
      <right style="thick">
        <color rgb="FF66FF33"/>
      </right>
      <top style="thick">
        <color rgb="FF66FF33"/>
      </top>
      <bottom style="thick">
        <color rgb="FF66FF33"/>
      </bottom>
      <diagonal/>
    </border>
    <border>
      <left style="thin">
        <color rgb="FFA6A6A6"/>
      </left>
      <right/>
      <top style="thin">
        <color rgb="FFA6A6A6"/>
      </top>
      <bottom/>
      <diagonal/>
    </border>
    <border>
      <left/>
      <right/>
      <top style="thin">
        <color rgb="FFA6A6A6"/>
      </top>
      <bottom/>
      <diagonal/>
    </border>
    <border>
      <left/>
      <right style="thin">
        <color rgb="FFA6A6A6"/>
      </right>
      <top style="thin">
        <color rgb="FFA6A6A6"/>
      </top>
      <bottom/>
      <diagonal/>
    </border>
    <border>
      <left style="thin">
        <color rgb="FFA6A6A6"/>
      </left>
      <right/>
      <top/>
      <bottom style="thin">
        <color rgb="FFA6A6A6"/>
      </bottom>
      <diagonal/>
    </border>
    <border>
      <left/>
      <right/>
      <top/>
      <bottom style="thin">
        <color rgb="FFA6A6A6"/>
      </bottom>
      <diagonal/>
    </border>
    <border>
      <left/>
      <right style="thin">
        <color rgb="FFA6A6A6"/>
      </right>
      <top/>
      <bottom style="thin">
        <color rgb="FFA6A6A6"/>
      </bottom>
      <diagonal/>
    </border>
    <border>
      <left style="thick">
        <color rgb="FFFF00FF"/>
      </left>
      <right style="thick">
        <color rgb="FFFF00FF"/>
      </right>
      <top style="thick">
        <color rgb="FFFF00FF"/>
      </top>
      <bottom style="thick">
        <color rgb="FFFF00FF"/>
      </bottom>
      <diagonal/>
    </border>
  </borders>
  <cellStyleXfs count="1">
    <xf numFmtId="0" fontId="0" fillId="0" borderId="0"/>
  </cellStyleXfs>
  <cellXfs count="49">
    <xf numFmtId="0" fontId="0" fillId="0" borderId="0" xfId="0"/>
    <xf numFmtId="0" fontId="3" fillId="0" borderId="0" xfId="0" applyFont="1"/>
    <xf numFmtId="0" fontId="2" fillId="0" borderId="0" xfId="0" applyFont="1"/>
    <xf numFmtId="49" fontId="0" fillId="4" borderId="1" xfId="0" quotePrefix="1" applyNumberFormat="1" applyFill="1" applyBorder="1"/>
    <xf numFmtId="49" fontId="0" fillId="3" borderId="1" xfId="0" applyNumberFormat="1" applyFill="1" applyBorder="1"/>
    <xf numFmtId="49" fontId="0" fillId="4" borderId="1" xfId="0" applyNumberFormat="1" applyFill="1" applyBorder="1"/>
    <xf numFmtId="49" fontId="1" fillId="7" borderId="1" xfId="0" applyNumberFormat="1" applyFont="1" applyFill="1" applyBorder="1"/>
    <xf numFmtId="49" fontId="0" fillId="0" borderId="1" xfId="0" applyNumberFormat="1" applyBorder="1"/>
    <xf numFmtId="49" fontId="1" fillId="9" borderId="1" xfId="0" applyNumberFormat="1" applyFont="1" applyFill="1" applyBorder="1"/>
    <xf numFmtId="165" fontId="0" fillId="0" borderId="1" xfId="0" applyNumberFormat="1" applyBorder="1"/>
    <xf numFmtId="49" fontId="0" fillId="5" borderId="1" xfId="0" applyNumberFormat="1" applyFill="1" applyBorder="1"/>
    <xf numFmtId="49" fontId="1" fillId="6" borderId="1" xfId="0" applyNumberFormat="1" applyFont="1" applyFill="1" applyBorder="1"/>
    <xf numFmtId="49" fontId="1" fillId="10" borderId="1" xfId="0" applyNumberFormat="1" applyFont="1" applyFill="1" applyBorder="1"/>
    <xf numFmtId="49" fontId="1" fillId="11" borderId="1" xfId="0" applyNumberFormat="1" applyFont="1" applyFill="1" applyBorder="1"/>
    <xf numFmtId="0" fontId="5" fillId="0" borderId="0" xfId="0" applyFont="1" applyAlignment="1">
      <alignment horizontal="center" vertical="center" wrapText="1"/>
    </xf>
    <xf numFmtId="49" fontId="6" fillId="0" borderId="1" xfId="0" applyNumberFormat="1" applyFont="1" applyBorder="1"/>
    <xf numFmtId="164" fontId="0" fillId="12" borderId="1" xfId="0" applyNumberFormat="1" applyFill="1" applyBorder="1"/>
    <xf numFmtId="0" fontId="5" fillId="0" borderId="0" xfId="0" applyFont="1" applyAlignment="1">
      <alignment vertical="center" wrapText="1"/>
    </xf>
    <xf numFmtId="49" fontId="1" fillId="8" borderId="1" xfId="0" applyNumberFormat="1" applyFont="1" applyFill="1" applyBorder="1" applyAlignment="1">
      <alignment horizontal="center" vertical="center" wrapText="1"/>
    </xf>
    <xf numFmtId="164" fontId="0" fillId="0" borderId="1" xfId="0" applyNumberFormat="1" applyBorder="1"/>
    <xf numFmtId="0" fontId="0" fillId="0" borderId="1" xfId="0" applyBorder="1"/>
    <xf numFmtId="49" fontId="0" fillId="3" borderId="2" xfId="0" applyNumberFormat="1" applyFill="1" applyBorder="1"/>
    <xf numFmtId="0" fontId="8" fillId="13" borderId="4" xfId="0" applyFont="1" applyFill="1" applyBorder="1" applyAlignment="1">
      <alignment horizontal="left" vertical="top" wrapText="1"/>
    </xf>
    <xf numFmtId="0" fontId="7" fillId="13" borderId="4" xfId="0" applyFont="1" applyFill="1" applyBorder="1" applyAlignment="1">
      <alignment horizontal="left" vertical="top" wrapText="1"/>
    </xf>
    <xf numFmtId="0" fontId="12" fillId="13" borderId="4" xfId="0" applyFont="1" applyFill="1" applyBorder="1" applyAlignment="1">
      <alignment horizontal="left" vertical="top" wrapText="1"/>
    </xf>
    <xf numFmtId="0" fontId="11" fillId="13" borderId="12" xfId="0" applyFont="1" applyFill="1" applyBorder="1" applyAlignment="1">
      <alignment horizontal="left" vertical="top" wrapText="1"/>
    </xf>
    <xf numFmtId="0" fontId="0" fillId="0" borderId="0" xfId="0" applyAlignment="1">
      <alignment horizontal="left" vertical="top"/>
    </xf>
    <xf numFmtId="0" fontId="9" fillId="13" borderId="5" xfId="0" applyFont="1" applyFill="1" applyBorder="1" applyAlignment="1">
      <alignment horizontal="left" vertical="top" wrapText="1"/>
    </xf>
    <xf numFmtId="0" fontId="3" fillId="0" borderId="0" xfId="0" applyFont="1" applyAlignment="1">
      <alignment vertical="center"/>
    </xf>
    <xf numFmtId="0" fontId="2" fillId="0" borderId="0" xfId="0" applyFont="1" applyAlignment="1">
      <alignment vertical="center" wrapText="1"/>
    </xf>
    <xf numFmtId="49" fontId="17" fillId="13" borderId="3" xfId="0" applyNumberFormat="1" applyFont="1" applyFill="1" applyBorder="1"/>
    <xf numFmtId="14" fontId="0" fillId="0" borderId="0" xfId="0" applyNumberFormat="1"/>
    <xf numFmtId="49" fontId="6" fillId="15" borderId="1" xfId="0" applyNumberFormat="1" applyFont="1" applyFill="1" applyBorder="1"/>
    <xf numFmtId="49" fontId="6" fillId="3" borderId="2" xfId="0" applyNumberFormat="1" applyFont="1" applyFill="1" applyBorder="1"/>
    <xf numFmtId="1" fontId="6" fillId="16" borderId="1" xfId="0" applyNumberFormat="1" applyFont="1" applyFill="1" applyBorder="1"/>
    <xf numFmtId="1" fontId="0" fillId="12" borderId="1" xfId="0" applyNumberFormat="1" applyFill="1" applyBorder="1"/>
    <xf numFmtId="1" fontId="0" fillId="16" borderId="1" xfId="0" applyNumberFormat="1" applyFill="1" applyBorder="1"/>
    <xf numFmtId="0" fontId="10" fillId="14" borderId="4" xfId="0" applyFont="1" applyFill="1" applyBorder="1" applyAlignment="1">
      <alignment horizontal="left" vertical="top" wrapText="1"/>
    </xf>
    <xf numFmtId="0" fontId="5" fillId="14" borderId="0" xfId="0" applyFont="1" applyFill="1" applyAlignment="1">
      <alignment vertical="center" wrapText="1"/>
    </xf>
    <xf numFmtId="0" fontId="13" fillId="14" borderId="0" xfId="0" applyFont="1" applyFill="1" applyAlignment="1">
      <alignment horizontal="center" vertical="center" wrapText="1"/>
    </xf>
    <xf numFmtId="0" fontId="15" fillId="14" borderId="0" xfId="0" applyFont="1" applyFill="1" applyAlignment="1">
      <alignment horizontal="center" vertical="center" wrapText="1"/>
    </xf>
    <xf numFmtId="0" fontId="16" fillId="14" borderId="0" xfId="0" applyFont="1" applyFill="1" applyAlignment="1">
      <alignment vertical="center"/>
    </xf>
    <xf numFmtId="0" fontId="10" fillId="6" borderId="6" xfId="0" applyFont="1" applyFill="1" applyBorder="1" applyAlignment="1">
      <alignment horizontal="left" vertical="top" wrapText="1"/>
    </xf>
    <xf numFmtId="0" fontId="10" fillId="6" borderId="7" xfId="0" applyFont="1" applyFill="1" applyBorder="1" applyAlignment="1">
      <alignment horizontal="left" vertical="top" wrapText="1"/>
    </xf>
    <xf numFmtId="0" fontId="10" fillId="6" borderId="8" xfId="0" applyFont="1" applyFill="1" applyBorder="1" applyAlignment="1">
      <alignment horizontal="left" vertical="top" wrapText="1"/>
    </xf>
    <xf numFmtId="0" fontId="10" fillId="6" borderId="9" xfId="0" applyFont="1" applyFill="1" applyBorder="1" applyAlignment="1">
      <alignment horizontal="left" vertical="top" wrapText="1"/>
    </xf>
    <xf numFmtId="0" fontId="10" fillId="6" borderId="10" xfId="0" applyFont="1" applyFill="1" applyBorder="1" applyAlignment="1">
      <alignment horizontal="left" vertical="top" wrapText="1"/>
    </xf>
    <xf numFmtId="0" fontId="10" fillId="6" borderId="11" xfId="0" applyFont="1" applyFill="1" applyBorder="1" applyAlignment="1">
      <alignment horizontal="left" vertical="top" wrapText="1"/>
    </xf>
    <xf numFmtId="0" fontId="2" fillId="2" borderId="0" xfId="0" applyFont="1" applyFill="1" applyAlignment="1">
      <alignment horizontal="center" vertical="center" wrapText="1"/>
    </xf>
  </cellXfs>
  <cellStyles count="1">
    <cellStyle name="Normal" xfId="0" builtinId="0"/>
  </cellStyles>
  <dxfs count="0"/>
  <tableStyles count="0" defaultTableStyle="TableStyleMedium2" defaultPivotStyle="PivotStyleLight16"/>
  <colors>
    <mruColors>
      <color rgb="FFF6ACEB"/>
      <color rgb="FFF06EDC"/>
      <color rgb="FFFF00FF"/>
      <color rgb="FF66FF33"/>
      <color rgb="FFCC99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205740</xdr:colOff>
          <xdr:row>2</xdr:row>
          <xdr:rowOff>198120</xdr:rowOff>
        </xdr:from>
        <xdr:to>
          <xdr:col>8</xdr:col>
          <xdr:colOff>1219200</xdr:colOff>
          <xdr:row>4</xdr:row>
          <xdr:rowOff>2164080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GB" sz="2600" b="0" i="0" u="none" strike="noStrike" baseline="0">
                  <a:solidFill>
                    <a:srgbClr val="000000"/>
                  </a:solidFill>
                  <a:latin typeface="Calibri"/>
                  <a:cs typeface="Calibri"/>
                </a:rPr>
                <a:t>Generate Riddick Scale Ranks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21"/>
  <sheetViews>
    <sheetView tabSelected="1" zoomScale="85" zoomScaleNormal="85" workbookViewId="0">
      <selection sqref="A1:D1"/>
    </sheetView>
  </sheetViews>
  <sheetFormatPr defaultRowHeight="14.4" x14ac:dyDescent="0.3"/>
  <cols>
    <col min="1" max="1" width="25.88671875" customWidth="1"/>
    <col min="2" max="2" width="56.6640625" customWidth="1"/>
    <col min="3" max="3" width="25" customWidth="1"/>
    <col min="4" max="4" width="31.5546875" bestFit="1" customWidth="1"/>
    <col min="5" max="5" width="26.44140625" customWidth="1"/>
    <col min="6" max="6" width="24.5546875" bestFit="1" customWidth="1"/>
    <col min="7" max="7" width="28" customWidth="1"/>
    <col min="8" max="8" width="26" customWidth="1"/>
    <col min="9" max="9" width="21.44140625" bestFit="1" customWidth="1"/>
    <col min="10" max="10" width="24.5546875" bestFit="1" customWidth="1"/>
    <col min="11" max="12" width="21.44140625" bestFit="1" customWidth="1"/>
    <col min="13" max="15" width="24.88671875" bestFit="1" customWidth="1"/>
    <col min="16" max="16" width="118" bestFit="1" customWidth="1"/>
    <col min="17" max="17" width="37.109375" bestFit="1" customWidth="1"/>
    <col min="18" max="18" width="21" bestFit="1" customWidth="1"/>
    <col min="19" max="19" width="24.5546875" bestFit="1" customWidth="1"/>
    <col min="20" max="20" width="21" bestFit="1" customWidth="1"/>
    <col min="21" max="21" width="30.6640625" customWidth="1"/>
    <col min="22" max="22" width="70.77734375" bestFit="1" customWidth="1"/>
    <col min="23" max="23" width="43" bestFit="1" customWidth="1"/>
    <col min="24" max="27" width="25" bestFit="1" customWidth="1"/>
    <col min="28" max="28" width="31.88671875" bestFit="1" customWidth="1"/>
    <col min="29" max="29" width="20" customWidth="1"/>
    <col min="30" max="30" width="21.6640625" bestFit="1" customWidth="1"/>
    <col min="31" max="31" width="44.5546875" bestFit="1" customWidth="1"/>
    <col min="32" max="32" width="54.33203125" bestFit="1" customWidth="1"/>
    <col min="33" max="33" width="62.21875" bestFit="1" customWidth="1"/>
    <col min="34" max="34" width="22.109375" bestFit="1" customWidth="1"/>
    <col min="35" max="35" width="21.6640625" bestFit="1" customWidth="1"/>
    <col min="36" max="37" width="22.109375" bestFit="1" customWidth="1"/>
    <col min="38" max="38" width="71.88671875" bestFit="1" customWidth="1"/>
    <col min="39" max="39" width="39.109375" bestFit="1" customWidth="1"/>
    <col min="40" max="40" width="65.21875" bestFit="1" customWidth="1"/>
    <col min="41" max="41" width="33.109375" bestFit="1" customWidth="1"/>
    <col min="42" max="42" width="23.88671875" bestFit="1" customWidth="1"/>
    <col min="43" max="43" width="32.5546875" bestFit="1" customWidth="1"/>
    <col min="44" max="44" width="33.33203125" bestFit="1" customWidth="1"/>
    <col min="45" max="45" width="33.44140625" bestFit="1" customWidth="1"/>
    <col min="46" max="46" width="32.88671875" customWidth="1"/>
    <col min="47" max="47" width="23" bestFit="1" customWidth="1"/>
    <col min="48" max="48" width="46.44140625" bestFit="1" customWidth="1"/>
    <col min="49" max="49" width="47.77734375" bestFit="1" customWidth="1"/>
    <col min="50" max="50" width="37.88671875" bestFit="1" customWidth="1"/>
    <col min="51" max="51" width="74.6640625" bestFit="1" customWidth="1"/>
    <col min="52" max="52" width="24.88671875" bestFit="1" customWidth="1"/>
    <col min="53" max="53" width="28" bestFit="1" customWidth="1"/>
  </cols>
  <sheetData>
    <row r="1" spans="1:53" ht="83.4" customHeight="1" x14ac:dyDescent="0.3">
      <c r="A1" s="41" t="s">
        <v>72</v>
      </c>
      <c r="B1" s="41"/>
      <c r="C1" s="41"/>
      <c r="D1" s="41"/>
      <c r="E1" s="28"/>
      <c r="F1" s="39" t="s">
        <v>136</v>
      </c>
      <c r="G1" s="39"/>
      <c r="H1" s="39"/>
      <c r="I1" s="39"/>
      <c r="J1" s="28"/>
      <c r="Q1" s="17"/>
      <c r="R1" s="17"/>
      <c r="S1" s="17"/>
      <c r="T1" s="17"/>
      <c r="U1" s="17"/>
      <c r="V1" s="17"/>
      <c r="W1" s="17"/>
    </row>
    <row r="2" spans="1:53" ht="73.2" customHeight="1" x14ac:dyDescent="0.3">
      <c r="A2" s="38" t="s">
        <v>142</v>
      </c>
      <c r="B2" s="38"/>
      <c r="C2" s="38"/>
      <c r="D2" s="38"/>
      <c r="E2" s="17"/>
      <c r="F2" s="40" t="s">
        <v>141</v>
      </c>
      <c r="G2" s="40"/>
      <c r="H2" s="40"/>
      <c r="I2" s="40"/>
      <c r="J2" s="17"/>
      <c r="K2" s="14"/>
      <c r="L2" s="17"/>
      <c r="M2" s="17"/>
      <c r="N2" s="14"/>
      <c r="P2" s="14"/>
      <c r="Q2" s="17"/>
      <c r="R2" s="17"/>
      <c r="S2" s="17"/>
      <c r="T2" s="17"/>
      <c r="U2" s="17"/>
      <c r="V2" s="17"/>
      <c r="W2" s="17"/>
    </row>
    <row r="3" spans="1:53" ht="88.8" customHeight="1" x14ac:dyDescent="0.3">
      <c r="A3" s="38" t="s">
        <v>74</v>
      </c>
      <c r="B3" s="38"/>
      <c r="C3" s="38"/>
      <c r="D3" s="38"/>
      <c r="E3" s="17"/>
      <c r="F3" s="17"/>
      <c r="G3" s="17"/>
      <c r="H3" s="17"/>
      <c r="I3" s="17"/>
      <c r="J3" s="17"/>
      <c r="K3" s="14"/>
      <c r="L3" s="14"/>
      <c r="M3" s="14"/>
      <c r="N3" s="14"/>
      <c r="P3" s="14"/>
      <c r="Q3" s="17"/>
      <c r="R3" s="17"/>
      <c r="S3" s="17"/>
      <c r="T3" s="17"/>
      <c r="U3" s="17"/>
      <c r="V3" s="17"/>
      <c r="W3" s="17"/>
    </row>
    <row r="4" spans="1:53" ht="84.6" customHeight="1" x14ac:dyDescent="0.3">
      <c r="A4" s="38" t="s">
        <v>104</v>
      </c>
      <c r="B4" s="38"/>
      <c r="C4" s="38"/>
      <c r="D4" s="38"/>
      <c r="E4" s="17"/>
      <c r="F4" s="17"/>
      <c r="G4" s="17"/>
      <c r="H4" s="17"/>
      <c r="I4" s="17"/>
      <c r="J4" s="17"/>
    </row>
    <row r="5" spans="1:53" ht="220.8" customHeight="1" x14ac:dyDescent="0.3">
      <c r="A5" s="38" t="s">
        <v>163</v>
      </c>
      <c r="B5" s="38"/>
      <c r="C5" s="38"/>
      <c r="D5" s="38"/>
      <c r="E5" s="29"/>
      <c r="F5" s="29"/>
      <c r="G5" s="29"/>
      <c r="H5" s="29"/>
      <c r="I5" s="29"/>
      <c r="J5" s="29"/>
    </row>
    <row r="6" spans="1:53" ht="306" customHeight="1" x14ac:dyDescent="0.3">
      <c r="A6" s="38" t="s">
        <v>212</v>
      </c>
      <c r="B6" s="38"/>
      <c r="C6" s="38"/>
      <c r="D6" s="38"/>
      <c r="E6" s="29"/>
      <c r="F6" s="40" t="s">
        <v>140</v>
      </c>
      <c r="G6" s="40"/>
      <c r="H6" s="40"/>
      <c r="I6" s="40"/>
      <c r="J6" s="29"/>
    </row>
    <row r="7" spans="1:53" ht="318.60000000000002" customHeight="1" x14ac:dyDescent="0.3">
      <c r="A7" s="38" t="s">
        <v>164</v>
      </c>
      <c r="B7" s="38"/>
      <c r="C7" s="38"/>
      <c r="D7" s="38"/>
      <c r="E7" s="29"/>
      <c r="F7" s="39" t="s">
        <v>136</v>
      </c>
      <c r="G7" s="39"/>
      <c r="H7" s="39"/>
      <c r="I7" s="39"/>
      <c r="J7" s="29"/>
    </row>
    <row r="8" spans="1:53" ht="94.2" customHeight="1" x14ac:dyDescent="0.3">
      <c r="B8" s="18" t="s">
        <v>57</v>
      </c>
      <c r="C8" s="2"/>
      <c r="U8" s="18" t="s">
        <v>64</v>
      </c>
      <c r="AN8" s="18" t="s">
        <v>63</v>
      </c>
      <c r="AZ8" s="18" t="s">
        <v>58</v>
      </c>
    </row>
    <row r="9" spans="1:53" x14ac:dyDescent="0.3">
      <c r="A9" s="4" t="s">
        <v>31</v>
      </c>
      <c r="B9" s="4" t="s">
        <v>31</v>
      </c>
      <c r="C9" s="4" t="s">
        <v>31</v>
      </c>
      <c r="D9" s="4" t="s">
        <v>31</v>
      </c>
      <c r="E9" s="4" t="s">
        <v>30</v>
      </c>
      <c r="F9" s="4" t="s">
        <v>30</v>
      </c>
      <c r="G9" s="4" t="s">
        <v>30</v>
      </c>
      <c r="H9" s="4" t="s">
        <v>30</v>
      </c>
      <c r="I9" s="4" t="s">
        <v>26</v>
      </c>
      <c r="J9" s="4" t="s">
        <v>26</v>
      </c>
      <c r="K9" s="4" t="s">
        <v>26</v>
      </c>
      <c r="L9" s="4" t="s">
        <v>26</v>
      </c>
      <c r="M9" s="4" t="s">
        <v>29</v>
      </c>
      <c r="N9" s="4" t="s">
        <v>29</v>
      </c>
      <c r="O9" s="4" t="s">
        <v>29</v>
      </c>
      <c r="P9" s="4" t="s">
        <v>29</v>
      </c>
      <c r="Q9" s="4" t="s">
        <v>29</v>
      </c>
      <c r="R9" s="4" t="s">
        <v>32</v>
      </c>
      <c r="S9" s="4" t="s">
        <v>32</v>
      </c>
      <c r="T9" s="4" t="s">
        <v>32</v>
      </c>
      <c r="U9" s="4" t="s">
        <v>32</v>
      </c>
      <c r="V9" s="4" t="s">
        <v>32</v>
      </c>
      <c r="W9" s="4" t="s">
        <v>32</v>
      </c>
      <c r="X9" s="4" t="s">
        <v>28</v>
      </c>
      <c r="Y9" s="4" t="s">
        <v>28</v>
      </c>
      <c r="Z9" s="4" t="s">
        <v>28</v>
      </c>
      <c r="AA9" s="4" t="s">
        <v>28</v>
      </c>
      <c r="AB9" s="4" t="s">
        <v>28</v>
      </c>
      <c r="AC9" s="4" t="s">
        <v>27</v>
      </c>
      <c r="AD9" s="4" t="s">
        <v>27</v>
      </c>
      <c r="AE9" s="4" t="s">
        <v>27</v>
      </c>
      <c r="AF9" s="4" t="s">
        <v>27</v>
      </c>
      <c r="AG9" s="4" t="s">
        <v>27</v>
      </c>
      <c r="AH9" s="4" t="s">
        <v>33</v>
      </c>
      <c r="AI9" s="4" t="s">
        <v>33</v>
      </c>
      <c r="AJ9" s="4" t="s">
        <v>33</v>
      </c>
      <c r="AK9" s="4" t="s">
        <v>33</v>
      </c>
      <c r="AL9" s="4" t="s">
        <v>33</v>
      </c>
      <c r="AM9" s="4" t="s">
        <v>33</v>
      </c>
      <c r="AN9" s="4" t="s">
        <v>33</v>
      </c>
      <c r="AO9" s="5" t="s">
        <v>24</v>
      </c>
      <c r="AP9" s="5" t="s">
        <v>24</v>
      </c>
      <c r="AQ9" s="5" t="s">
        <v>24</v>
      </c>
      <c r="AR9" s="5" t="s">
        <v>24</v>
      </c>
      <c r="AS9" s="5" t="s">
        <v>24</v>
      </c>
      <c r="AT9" s="5" t="s">
        <v>24</v>
      </c>
      <c r="AU9" s="5" t="s">
        <v>24</v>
      </c>
      <c r="AV9" s="5" t="s">
        <v>24</v>
      </c>
      <c r="AW9" s="5" t="s">
        <v>24</v>
      </c>
      <c r="AX9" s="6" t="s">
        <v>25</v>
      </c>
      <c r="AY9" s="6" t="s">
        <v>25</v>
      </c>
      <c r="AZ9" s="6" t="s">
        <v>25</v>
      </c>
      <c r="BA9" s="6" t="s">
        <v>25</v>
      </c>
    </row>
    <row r="10" spans="1:53" x14ac:dyDescent="0.3">
      <c r="A10" s="21" t="s">
        <v>12</v>
      </c>
      <c r="B10" s="21" t="s">
        <v>125</v>
      </c>
      <c r="C10" s="21" t="s">
        <v>2</v>
      </c>
      <c r="D10" s="21" t="s">
        <v>3</v>
      </c>
      <c r="E10" s="33" t="s">
        <v>12</v>
      </c>
      <c r="F10" s="21" t="s">
        <v>125</v>
      </c>
      <c r="G10" s="21" t="s">
        <v>7</v>
      </c>
      <c r="H10" s="21" t="s">
        <v>4</v>
      </c>
      <c r="I10" s="4" t="s">
        <v>12</v>
      </c>
      <c r="J10" s="4" t="s">
        <v>125</v>
      </c>
      <c r="K10" s="4" t="s">
        <v>5</v>
      </c>
      <c r="L10" s="4" t="s">
        <v>6</v>
      </c>
      <c r="M10" s="4" t="s">
        <v>12</v>
      </c>
      <c r="N10" s="4" t="s">
        <v>125</v>
      </c>
      <c r="O10" s="4" t="s">
        <v>1</v>
      </c>
      <c r="P10" s="4" t="s">
        <v>0</v>
      </c>
      <c r="Q10" s="12" t="s">
        <v>137</v>
      </c>
      <c r="R10" s="4" t="s">
        <v>12</v>
      </c>
      <c r="S10" s="4" t="s">
        <v>125</v>
      </c>
      <c r="T10" s="4" t="s">
        <v>21</v>
      </c>
      <c r="U10" s="4" t="s">
        <v>22</v>
      </c>
      <c r="V10" s="4" t="s">
        <v>67</v>
      </c>
      <c r="W10" s="8" t="s">
        <v>71</v>
      </c>
      <c r="X10" s="4" t="s">
        <v>12</v>
      </c>
      <c r="Y10" s="4" t="s">
        <v>125</v>
      </c>
      <c r="Z10" s="4" t="s">
        <v>8</v>
      </c>
      <c r="AA10" s="4" t="s">
        <v>9</v>
      </c>
      <c r="AB10" s="12" t="s">
        <v>138</v>
      </c>
      <c r="AC10" s="4" t="s">
        <v>12</v>
      </c>
      <c r="AD10" s="4" t="s">
        <v>125</v>
      </c>
      <c r="AE10" s="4" t="s">
        <v>10</v>
      </c>
      <c r="AF10" s="4" t="s">
        <v>11</v>
      </c>
      <c r="AG10" s="8" t="s">
        <v>66</v>
      </c>
      <c r="AH10" s="4" t="s">
        <v>12</v>
      </c>
      <c r="AI10" s="4" t="s">
        <v>125</v>
      </c>
      <c r="AJ10" s="4" t="s">
        <v>17</v>
      </c>
      <c r="AK10" s="4" t="s">
        <v>18</v>
      </c>
      <c r="AL10" s="4" t="s">
        <v>70</v>
      </c>
      <c r="AM10" s="8" t="s">
        <v>61</v>
      </c>
      <c r="AN10" s="32" t="s">
        <v>73</v>
      </c>
      <c r="AO10" s="3" t="s">
        <v>19</v>
      </c>
      <c r="AP10" s="5" t="s">
        <v>15</v>
      </c>
      <c r="AQ10" s="5" t="s">
        <v>14</v>
      </c>
      <c r="AR10" s="5" t="s">
        <v>13</v>
      </c>
      <c r="AS10" s="5" t="s">
        <v>16</v>
      </c>
      <c r="AT10" s="3" t="s">
        <v>20</v>
      </c>
      <c r="AU10" s="5" t="s">
        <v>36</v>
      </c>
      <c r="AV10" s="13" t="s">
        <v>147</v>
      </c>
      <c r="AW10" s="13" t="s">
        <v>145</v>
      </c>
      <c r="AX10" s="13" t="s">
        <v>144</v>
      </c>
      <c r="AY10" s="6" t="s">
        <v>41</v>
      </c>
      <c r="AZ10" s="6" t="s">
        <v>23</v>
      </c>
      <c r="BA10" s="6" t="s">
        <v>34</v>
      </c>
    </row>
    <row r="11" spans="1:53" x14ac:dyDescent="0.3">
      <c r="A11" s="30" t="s">
        <v>75</v>
      </c>
      <c r="B11" s="30" t="s">
        <v>309</v>
      </c>
      <c r="C11" s="30" t="s">
        <v>44</v>
      </c>
      <c r="D11" s="7" t="s">
        <v>44</v>
      </c>
      <c r="E11" s="30" t="s">
        <v>79</v>
      </c>
      <c r="F11" s="30" t="s">
        <v>309</v>
      </c>
      <c r="G11" s="30" t="s">
        <v>221</v>
      </c>
      <c r="H11" s="7" t="s">
        <v>221</v>
      </c>
      <c r="I11" s="30" t="s">
        <v>83</v>
      </c>
      <c r="J11" s="30" t="s">
        <v>309</v>
      </c>
      <c r="K11" s="30" t="s">
        <v>46</v>
      </c>
      <c r="L11" s="7" t="s">
        <v>46</v>
      </c>
      <c r="M11" s="30" t="s">
        <v>87</v>
      </c>
      <c r="N11" s="30" t="s">
        <v>309</v>
      </c>
      <c r="O11" s="30" t="s">
        <v>222</v>
      </c>
      <c r="P11" s="15" t="s">
        <v>222</v>
      </c>
      <c r="Q11" s="34">
        <v>33</v>
      </c>
      <c r="R11" s="30" t="s">
        <v>91</v>
      </c>
      <c r="S11" s="30" t="s">
        <v>309</v>
      </c>
      <c r="T11" s="30" t="s">
        <v>276</v>
      </c>
      <c r="U11" s="7" t="s">
        <v>223</v>
      </c>
      <c r="V11" s="19" t="s">
        <v>68</v>
      </c>
      <c r="W11" s="7" t="s">
        <v>59</v>
      </c>
      <c r="X11" s="30" t="s">
        <v>95</v>
      </c>
      <c r="Y11" s="30" t="s">
        <v>309</v>
      </c>
      <c r="Z11" s="30" t="s">
        <v>228</v>
      </c>
      <c r="AA11" s="7" t="s">
        <v>228</v>
      </c>
      <c r="AB11" s="36">
        <v>50</v>
      </c>
      <c r="AC11" s="30" t="s">
        <v>99</v>
      </c>
      <c r="AD11" s="30" t="s">
        <v>309</v>
      </c>
      <c r="AE11" s="30" t="s">
        <v>283</v>
      </c>
      <c r="AF11" s="7" t="s">
        <v>225</v>
      </c>
      <c r="AG11" s="7" t="s">
        <v>53</v>
      </c>
      <c r="AH11" s="30" t="s">
        <v>204</v>
      </c>
      <c r="AI11" s="30" t="s">
        <v>309</v>
      </c>
      <c r="AJ11" s="30" t="s">
        <v>297</v>
      </c>
      <c r="AK11" s="7" t="s">
        <v>263</v>
      </c>
      <c r="AL11" s="19" t="s">
        <v>264</v>
      </c>
      <c r="AM11" s="7" t="s">
        <v>69</v>
      </c>
      <c r="AN11" s="7" t="s">
        <v>265</v>
      </c>
      <c r="AO11" s="7" t="s">
        <v>48</v>
      </c>
      <c r="AP11" s="7" t="s">
        <v>48</v>
      </c>
      <c r="AQ11" s="7" t="s">
        <v>48</v>
      </c>
      <c r="AR11" s="7" t="s">
        <v>48</v>
      </c>
      <c r="AS11" s="7" t="s">
        <v>48</v>
      </c>
      <c r="AT11" s="7" t="s">
        <v>48</v>
      </c>
      <c r="AU11" s="7" t="s">
        <v>48</v>
      </c>
      <c r="AV11" s="35">
        <v>10</v>
      </c>
      <c r="AW11" s="35">
        <v>10</v>
      </c>
      <c r="AX11" s="16" t="s">
        <v>56</v>
      </c>
      <c r="AY11" s="7" t="s">
        <v>48</v>
      </c>
      <c r="AZ11" s="7" t="s">
        <v>49</v>
      </c>
      <c r="BA11" s="7"/>
    </row>
    <row r="12" spans="1:53" x14ac:dyDescent="0.3">
      <c r="A12" s="30" t="s">
        <v>76</v>
      </c>
      <c r="B12" s="30" t="s">
        <v>309</v>
      </c>
      <c r="C12" s="30" t="s">
        <v>44</v>
      </c>
      <c r="D12" s="7" t="s">
        <v>44</v>
      </c>
      <c r="E12" s="30" t="s">
        <v>80</v>
      </c>
      <c r="F12" s="30" t="s">
        <v>309</v>
      </c>
      <c r="G12" s="30" t="s">
        <v>221</v>
      </c>
      <c r="H12" s="7" t="s">
        <v>221</v>
      </c>
      <c r="I12" s="30" t="s">
        <v>84</v>
      </c>
      <c r="J12" s="30" t="s">
        <v>309</v>
      </c>
      <c r="K12" s="30" t="s">
        <v>46</v>
      </c>
      <c r="L12" s="7" t="s">
        <v>46</v>
      </c>
      <c r="M12" s="30" t="s">
        <v>88</v>
      </c>
      <c r="N12" s="30" t="s">
        <v>309</v>
      </c>
      <c r="O12" s="30" t="s">
        <v>222</v>
      </c>
      <c r="P12" s="15" t="s">
        <v>222</v>
      </c>
      <c r="Q12" s="34">
        <v>33</v>
      </c>
      <c r="R12" s="30" t="s">
        <v>92</v>
      </c>
      <c r="S12" s="30" t="s">
        <v>309</v>
      </c>
      <c r="T12" s="30" t="s">
        <v>276</v>
      </c>
      <c r="U12" s="7" t="s">
        <v>223</v>
      </c>
      <c r="V12" s="19" t="s">
        <v>68</v>
      </c>
      <c r="W12" s="7" t="s">
        <v>59</v>
      </c>
      <c r="X12" s="30" t="s">
        <v>96</v>
      </c>
      <c r="Y12" s="30" t="s">
        <v>309</v>
      </c>
      <c r="Z12" s="30" t="s">
        <v>228</v>
      </c>
      <c r="AA12" s="7" t="s">
        <v>228</v>
      </c>
      <c r="AB12" s="36">
        <v>50</v>
      </c>
      <c r="AC12" s="30" t="s">
        <v>100</v>
      </c>
      <c r="AD12" s="30" t="s">
        <v>309</v>
      </c>
      <c r="AE12" s="30" t="s">
        <v>284</v>
      </c>
      <c r="AF12" s="7" t="s">
        <v>229</v>
      </c>
      <c r="AG12" s="7" t="s">
        <v>230</v>
      </c>
      <c r="AH12" s="30" t="s">
        <v>205</v>
      </c>
      <c r="AI12" s="30" t="s">
        <v>309</v>
      </c>
      <c r="AJ12" s="30" t="s">
        <v>297</v>
      </c>
      <c r="AK12" s="7" t="s">
        <v>263</v>
      </c>
      <c r="AL12" s="19" t="s">
        <v>264</v>
      </c>
      <c r="AM12" s="7" t="s">
        <v>69</v>
      </c>
      <c r="AN12" s="7" t="s">
        <v>265</v>
      </c>
      <c r="AO12" s="7" t="s">
        <v>48</v>
      </c>
      <c r="AP12" s="7" t="s">
        <v>48</v>
      </c>
      <c r="AQ12" s="7" t="s">
        <v>48</v>
      </c>
      <c r="AR12" s="7" t="s">
        <v>48</v>
      </c>
      <c r="AS12" s="7" t="s">
        <v>48</v>
      </c>
      <c r="AT12" s="7" t="s">
        <v>48</v>
      </c>
      <c r="AU12" s="7" t="s">
        <v>48</v>
      </c>
      <c r="AV12" s="35">
        <v>20</v>
      </c>
      <c r="AW12" s="35">
        <v>50</v>
      </c>
      <c r="AX12" s="16" t="s">
        <v>56</v>
      </c>
      <c r="AY12" s="7" t="s">
        <v>48</v>
      </c>
      <c r="AZ12" s="7" t="s">
        <v>232</v>
      </c>
      <c r="BA12" s="7"/>
    </row>
    <row r="13" spans="1:53" ht="14.4" customHeight="1" x14ac:dyDescent="0.3">
      <c r="A13" s="30" t="s">
        <v>77</v>
      </c>
      <c r="B13" s="30" t="s">
        <v>309</v>
      </c>
      <c r="C13" s="30" t="s">
        <v>44</v>
      </c>
      <c r="D13" s="7" t="s">
        <v>44</v>
      </c>
      <c r="E13" s="30" t="s">
        <v>81</v>
      </c>
      <c r="F13" s="30" t="s">
        <v>309</v>
      </c>
      <c r="G13" s="30" t="s">
        <v>221</v>
      </c>
      <c r="H13" s="7" t="s">
        <v>221</v>
      </c>
      <c r="I13" s="30" t="s">
        <v>85</v>
      </c>
      <c r="J13" s="30" t="s">
        <v>309</v>
      </c>
      <c r="K13" s="30" t="s">
        <v>46</v>
      </c>
      <c r="L13" s="7" t="s">
        <v>46</v>
      </c>
      <c r="M13" s="30" t="s">
        <v>89</v>
      </c>
      <c r="N13" s="30" t="s">
        <v>309</v>
      </c>
      <c r="O13" s="30" t="s">
        <v>233</v>
      </c>
      <c r="P13" s="15" t="s">
        <v>233</v>
      </c>
      <c r="Q13" s="34">
        <v>100</v>
      </c>
      <c r="R13" s="30" t="s">
        <v>93</v>
      </c>
      <c r="S13" s="30" t="s">
        <v>309</v>
      </c>
      <c r="T13" s="30" t="s">
        <v>276</v>
      </c>
      <c r="U13" s="7" t="s">
        <v>223</v>
      </c>
      <c r="V13" s="19" t="s">
        <v>68</v>
      </c>
      <c r="W13" s="7" t="s">
        <v>59</v>
      </c>
      <c r="X13" s="30" t="s">
        <v>97</v>
      </c>
      <c r="Y13" s="30" t="s">
        <v>309</v>
      </c>
      <c r="Z13" s="30" t="s">
        <v>234</v>
      </c>
      <c r="AA13" s="7" t="s">
        <v>234</v>
      </c>
      <c r="AB13" s="36">
        <v>100</v>
      </c>
      <c r="AC13" s="30" t="s">
        <v>101</v>
      </c>
      <c r="AD13" s="30" t="s">
        <v>309</v>
      </c>
      <c r="AE13" s="30" t="s">
        <v>285</v>
      </c>
      <c r="AF13" s="7" t="s">
        <v>235</v>
      </c>
      <c r="AG13" s="7" t="s">
        <v>230</v>
      </c>
      <c r="AH13" s="30" t="s">
        <v>206</v>
      </c>
      <c r="AI13" s="30" t="s">
        <v>309</v>
      </c>
      <c r="AJ13" s="30" t="s">
        <v>295</v>
      </c>
      <c r="AK13" s="7" t="s">
        <v>226</v>
      </c>
      <c r="AL13" s="19" t="s">
        <v>227</v>
      </c>
      <c r="AM13" s="7" t="s">
        <v>69</v>
      </c>
      <c r="AN13" s="7" t="s">
        <v>231</v>
      </c>
      <c r="AO13" s="7" t="s">
        <v>48</v>
      </c>
      <c r="AP13" s="7" t="s">
        <v>48</v>
      </c>
      <c r="AQ13" s="7" t="s">
        <v>48</v>
      </c>
      <c r="AR13" s="7" t="s">
        <v>48</v>
      </c>
      <c r="AS13" s="7" t="s">
        <v>48</v>
      </c>
      <c r="AT13" s="7" t="s">
        <v>48</v>
      </c>
      <c r="AU13" s="7" t="s">
        <v>48</v>
      </c>
      <c r="AV13" s="35">
        <v>30</v>
      </c>
      <c r="AW13" s="35">
        <v>49</v>
      </c>
      <c r="AX13" s="16" t="s">
        <v>56</v>
      </c>
      <c r="AY13" s="7" t="s">
        <v>48</v>
      </c>
      <c r="AZ13" s="7" t="s">
        <v>236</v>
      </c>
      <c r="BA13" s="7"/>
    </row>
    <row r="14" spans="1:53" ht="14.4" customHeight="1" x14ac:dyDescent="0.3">
      <c r="A14" s="30" t="s">
        <v>78</v>
      </c>
      <c r="B14" s="30" t="s">
        <v>309</v>
      </c>
      <c r="C14" s="30" t="s">
        <v>44</v>
      </c>
      <c r="D14" s="7" t="s">
        <v>44</v>
      </c>
      <c r="E14" s="30" t="s">
        <v>82</v>
      </c>
      <c r="F14" s="30" t="s">
        <v>309</v>
      </c>
      <c r="G14" s="30" t="s">
        <v>221</v>
      </c>
      <c r="H14" s="7" t="s">
        <v>221</v>
      </c>
      <c r="I14" s="30" t="s">
        <v>86</v>
      </c>
      <c r="J14" s="30" t="s">
        <v>309</v>
      </c>
      <c r="K14" s="30" t="s">
        <v>46</v>
      </c>
      <c r="L14" s="7" t="s">
        <v>46</v>
      </c>
      <c r="M14" s="30" t="s">
        <v>90</v>
      </c>
      <c r="N14" s="30" t="s">
        <v>309</v>
      </c>
      <c r="O14" s="30" t="s">
        <v>237</v>
      </c>
      <c r="P14" s="15" t="s">
        <v>237</v>
      </c>
      <c r="Q14" s="34">
        <v>100</v>
      </c>
      <c r="R14" s="30" t="s">
        <v>94</v>
      </c>
      <c r="S14" s="30" t="s">
        <v>309</v>
      </c>
      <c r="T14" s="30" t="s">
        <v>276</v>
      </c>
      <c r="U14" s="7" t="s">
        <v>223</v>
      </c>
      <c r="V14" s="19" t="s">
        <v>68</v>
      </c>
      <c r="W14" s="7" t="s">
        <v>59</v>
      </c>
      <c r="X14" s="30" t="s">
        <v>98</v>
      </c>
      <c r="Y14" s="30" t="s">
        <v>309</v>
      </c>
      <c r="Z14" s="30" t="s">
        <v>238</v>
      </c>
      <c r="AA14" s="7" t="s">
        <v>238</v>
      </c>
      <c r="AB14" s="36">
        <v>100</v>
      </c>
      <c r="AC14" s="30" t="s">
        <v>102</v>
      </c>
      <c r="AD14" s="30" t="s">
        <v>309</v>
      </c>
      <c r="AE14" s="30" t="s">
        <v>286</v>
      </c>
      <c r="AF14" s="7" t="s">
        <v>239</v>
      </c>
      <c r="AG14" s="7" t="s">
        <v>240</v>
      </c>
      <c r="AH14" s="30" t="s">
        <v>207</v>
      </c>
      <c r="AI14" s="30" t="s">
        <v>309</v>
      </c>
      <c r="AJ14" s="30" t="s">
        <v>295</v>
      </c>
      <c r="AK14" s="7" t="s">
        <v>226</v>
      </c>
      <c r="AL14" s="19" t="s">
        <v>227</v>
      </c>
      <c r="AM14" s="7" t="s">
        <v>69</v>
      </c>
      <c r="AN14" s="7" t="s">
        <v>241</v>
      </c>
      <c r="AO14" s="7" t="s">
        <v>48</v>
      </c>
      <c r="AP14" s="7" t="s">
        <v>48</v>
      </c>
      <c r="AQ14" s="7" t="s">
        <v>48</v>
      </c>
      <c r="AR14" s="7" t="s">
        <v>48</v>
      </c>
      <c r="AS14" s="7" t="s">
        <v>48</v>
      </c>
      <c r="AT14" s="7" t="s">
        <v>48</v>
      </c>
      <c r="AU14" s="7" t="s">
        <v>48</v>
      </c>
      <c r="AV14" s="35">
        <v>40</v>
      </c>
      <c r="AW14" s="35">
        <v>88.2</v>
      </c>
      <c r="AX14" s="16" t="s">
        <v>56</v>
      </c>
      <c r="AY14" s="7" t="s">
        <v>48</v>
      </c>
      <c r="AZ14" s="7" t="s">
        <v>242</v>
      </c>
      <c r="BA14" s="7"/>
    </row>
    <row r="15" spans="1:53" ht="14.4" customHeight="1" x14ac:dyDescent="0.3">
      <c r="A15" s="30" t="s">
        <v>174</v>
      </c>
      <c r="B15" s="30" t="s">
        <v>309</v>
      </c>
      <c r="C15" s="30" t="s">
        <v>44</v>
      </c>
      <c r="D15" s="7" t="s">
        <v>44</v>
      </c>
      <c r="E15" s="30" t="s">
        <v>178</v>
      </c>
      <c r="F15" s="30" t="s">
        <v>309</v>
      </c>
      <c r="G15" s="30" t="s">
        <v>221</v>
      </c>
      <c r="H15" s="7" t="s">
        <v>221</v>
      </c>
      <c r="I15" s="30" t="s">
        <v>182</v>
      </c>
      <c r="J15" s="30" t="s">
        <v>309</v>
      </c>
      <c r="K15" s="30" t="s">
        <v>46</v>
      </c>
      <c r="L15" s="7" t="s">
        <v>46</v>
      </c>
      <c r="M15" s="30" t="s">
        <v>186</v>
      </c>
      <c r="N15" s="30" t="s">
        <v>309</v>
      </c>
      <c r="O15" s="30" t="s">
        <v>243</v>
      </c>
      <c r="P15" s="15" t="s">
        <v>243</v>
      </c>
      <c r="Q15" s="34">
        <v>100</v>
      </c>
      <c r="R15" s="30" t="s">
        <v>190</v>
      </c>
      <c r="S15" s="30" t="s">
        <v>309</v>
      </c>
      <c r="T15" s="30" t="s">
        <v>277</v>
      </c>
      <c r="U15" s="7" t="s">
        <v>244</v>
      </c>
      <c r="V15" s="19" t="s">
        <v>245</v>
      </c>
      <c r="W15" s="7" t="s">
        <v>59</v>
      </c>
      <c r="X15" s="30" t="s">
        <v>194</v>
      </c>
      <c r="Y15" s="30" t="s">
        <v>309</v>
      </c>
      <c r="Z15" s="30" t="s">
        <v>307</v>
      </c>
      <c r="AA15" s="7" t="s">
        <v>307</v>
      </c>
      <c r="AB15" s="36">
        <v>100</v>
      </c>
      <c r="AC15" s="30" t="s">
        <v>198</v>
      </c>
      <c r="AD15" s="30" t="s">
        <v>309</v>
      </c>
      <c r="AE15" s="30" t="s">
        <v>287</v>
      </c>
      <c r="AF15" s="7" t="s">
        <v>246</v>
      </c>
      <c r="AG15" s="7" t="s">
        <v>240</v>
      </c>
      <c r="AH15" s="30" t="s">
        <v>208</v>
      </c>
      <c r="AI15" s="30" t="s">
        <v>309</v>
      </c>
      <c r="AJ15" s="30" t="s">
        <v>295</v>
      </c>
      <c r="AK15" s="7" t="s">
        <v>226</v>
      </c>
      <c r="AL15" s="19" t="s">
        <v>227</v>
      </c>
      <c r="AM15" s="7" t="s">
        <v>69</v>
      </c>
      <c r="AN15" s="7" t="s">
        <v>241</v>
      </c>
      <c r="AO15" s="7" t="s">
        <v>48</v>
      </c>
      <c r="AP15" s="7" t="s">
        <v>48</v>
      </c>
      <c r="AQ15" s="7" t="s">
        <v>48</v>
      </c>
      <c r="AR15" s="7" t="s">
        <v>48</v>
      </c>
      <c r="AS15" s="7" t="s">
        <v>48</v>
      </c>
      <c r="AT15" s="7" t="s">
        <v>48</v>
      </c>
      <c r="AU15" s="7" t="s">
        <v>48</v>
      </c>
      <c r="AV15" s="35">
        <v>50</v>
      </c>
      <c r="AW15" s="35">
        <v>50</v>
      </c>
      <c r="AX15" s="16" t="s">
        <v>56</v>
      </c>
      <c r="AY15" s="7" t="s">
        <v>48</v>
      </c>
      <c r="AZ15" s="7" t="s">
        <v>247</v>
      </c>
      <c r="BA15" s="7"/>
    </row>
    <row r="16" spans="1:53" ht="14.4" customHeight="1" x14ac:dyDescent="0.3">
      <c r="A16" s="30" t="s">
        <v>175</v>
      </c>
      <c r="B16" s="30" t="s">
        <v>309</v>
      </c>
      <c r="C16" s="30" t="s">
        <v>44</v>
      </c>
      <c r="D16" s="7" t="s">
        <v>44</v>
      </c>
      <c r="E16" s="30" t="s">
        <v>179</v>
      </c>
      <c r="F16" s="30" t="s">
        <v>309</v>
      </c>
      <c r="G16" s="30" t="s">
        <v>45</v>
      </c>
      <c r="H16" s="7" t="s">
        <v>45</v>
      </c>
      <c r="I16" s="30" t="s">
        <v>183</v>
      </c>
      <c r="J16" s="30" t="s">
        <v>309</v>
      </c>
      <c r="K16" s="30" t="s">
        <v>298</v>
      </c>
      <c r="L16" s="7" t="s">
        <v>298</v>
      </c>
      <c r="M16" s="30" t="s">
        <v>187</v>
      </c>
      <c r="N16" s="30" t="s">
        <v>309</v>
      </c>
      <c r="O16" s="30" t="s">
        <v>303</v>
      </c>
      <c r="P16" s="15" t="s">
        <v>303</v>
      </c>
      <c r="Q16" s="34">
        <v>100</v>
      </c>
      <c r="R16" s="30" t="s">
        <v>191</v>
      </c>
      <c r="S16" s="30" t="s">
        <v>309</v>
      </c>
      <c r="T16" s="30" t="s">
        <v>276</v>
      </c>
      <c r="U16" s="7" t="s">
        <v>223</v>
      </c>
      <c r="V16" s="19" t="s">
        <v>68</v>
      </c>
      <c r="W16" s="7" t="s">
        <v>59</v>
      </c>
      <c r="X16" s="30" t="s">
        <v>195</v>
      </c>
      <c r="Y16" s="30" t="s">
        <v>309</v>
      </c>
      <c r="Z16" s="30" t="s">
        <v>248</v>
      </c>
      <c r="AA16" s="7" t="s">
        <v>248</v>
      </c>
      <c r="AB16" s="36">
        <v>100</v>
      </c>
      <c r="AC16" s="30" t="s">
        <v>199</v>
      </c>
      <c r="AD16" s="30" t="s">
        <v>309</v>
      </c>
      <c r="AE16" s="30" t="s">
        <v>288</v>
      </c>
      <c r="AF16" s="7" t="s">
        <v>249</v>
      </c>
      <c r="AG16" s="7" t="s">
        <v>53</v>
      </c>
      <c r="AH16" s="30" t="s">
        <v>209</v>
      </c>
      <c r="AI16" s="30" t="s">
        <v>309</v>
      </c>
      <c r="AJ16" s="30" t="s">
        <v>296</v>
      </c>
      <c r="AK16" s="7" t="s">
        <v>250</v>
      </c>
      <c r="AL16" s="19" t="s">
        <v>60</v>
      </c>
      <c r="AM16" s="7" t="s">
        <v>69</v>
      </c>
      <c r="AN16" s="7" t="s">
        <v>47</v>
      </c>
      <c r="AO16" s="7" t="s">
        <v>48</v>
      </c>
      <c r="AP16" s="7" t="s">
        <v>48</v>
      </c>
      <c r="AQ16" s="7" t="s">
        <v>48</v>
      </c>
      <c r="AR16" s="7" t="s">
        <v>48</v>
      </c>
      <c r="AS16" s="7" t="s">
        <v>48</v>
      </c>
      <c r="AT16" s="7" t="s">
        <v>48</v>
      </c>
      <c r="AU16" s="7" t="s">
        <v>48</v>
      </c>
      <c r="AV16" s="35">
        <v>60</v>
      </c>
      <c r="AW16" s="35">
        <v>60</v>
      </c>
      <c r="AX16" s="16" t="s">
        <v>56</v>
      </c>
      <c r="AY16" s="7" t="s">
        <v>48</v>
      </c>
      <c r="AZ16" s="7" t="s">
        <v>50</v>
      </c>
      <c r="BA16" s="7"/>
    </row>
    <row r="17" spans="1:53" ht="14.4" customHeight="1" x14ac:dyDescent="0.3">
      <c r="A17" s="30" t="s">
        <v>176</v>
      </c>
      <c r="B17" s="30" t="s">
        <v>309</v>
      </c>
      <c r="C17" s="30" t="s">
        <v>44</v>
      </c>
      <c r="D17" s="7" t="s">
        <v>44</v>
      </c>
      <c r="E17" s="30" t="s">
        <v>180</v>
      </c>
      <c r="F17" s="30" t="s">
        <v>309</v>
      </c>
      <c r="G17" s="30" t="s">
        <v>45</v>
      </c>
      <c r="H17" s="7" t="s">
        <v>45</v>
      </c>
      <c r="I17" s="30" t="s">
        <v>184</v>
      </c>
      <c r="J17" s="30" t="s">
        <v>309</v>
      </c>
      <c r="K17" s="30" t="s">
        <v>298</v>
      </c>
      <c r="L17" s="7" t="s">
        <v>298</v>
      </c>
      <c r="M17" s="30" t="s">
        <v>188</v>
      </c>
      <c r="N17" s="30" t="s">
        <v>309</v>
      </c>
      <c r="O17" s="30" t="s">
        <v>299</v>
      </c>
      <c r="P17" s="15" t="s">
        <v>299</v>
      </c>
      <c r="Q17" s="34">
        <v>100</v>
      </c>
      <c r="R17" s="30" t="s">
        <v>192</v>
      </c>
      <c r="S17" s="30" t="s">
        <v>309</v>
      </c>
      <c r="T17" s="30" t="s">
        <v>276</v>
      </c>
      <c r="U17" s="7" t="s">
        <v>223</v>
      </c>
      <c r="V17" s="19" t="s">
        <v>68</v>
      </c>
      <c r="W17" s="7" t="s">
        <v>59</v>
      </c>
      <c r="X17" s="30" t="s">
        <v>196</v>
      </c>
      <c r="Y17" s="30" t="s">
        <v>309</v>
      </c>
      <c r="Z17" s="30" t="s">
        <v>251</v>
      </c>
      <c r="AA17" s="7" t="s">
        <v>251</v>
      </c>
      <c r="AB17" s="36">
        <v>100</v>
      </c>
      <c r="AC17" s="30" t="s">
        <v>200</v>
      </c>
      <c r="AD17" s="30" t="s">
        <v>309</v>
      </c>
      <c r="AE17" s="30" t="s">
        <v>289</v>
      </c>
      <c r="AF17" s="7" t="s">
        <v>252</v>
      </c>
      <c r="AG17" s="7" t="s">
        <v>230</v>
      </c>
      <c r="AH17" s="30" t="s">
        <v>210</v>
      </c>
      <c r="AI17" s="30" t="s">
        <v>309</v>
      </c>
      <c r="AJ17" s="30" t="s">
        <v>296</v>
      </c>
      <c r="AK17" s="7" t="s">
        <v>250</v>
      </c>
      <c r="AL17" s="19" t="s">
        <v>60</v>
      </c>
      <c r="AM17" s="7" t="s">
        <v>69</v>
      </c>
      <c r="AN17" s="7" t="s">
        <v>231</v>
      </c>
      <c r="AO17" s="7" t="s">
        <v>48</v>
      </c>
      <c r="AP17" s="7" t="s">
        <v>48</v>
      </c>
      <c r="AQ17" s="7" t="s">
        <v>48</v>
      </c>
      <c r="AR17" s="7" t="s">
        <v>48</v>
      </c>
      <c r="AS17" s="7" t="s">
        <v>48</v>
      </c>
      <c r="AT17" s="7" t="s">
        <v>48</v>
      </c>
      <c r="AU17" s="7" t="s">
        <v>48</v>
      </c>
      <c r="AV17" s="35">
        <v>70</v>
      </c>
      <c r="AW17" s="35">
        <v>70</v>
      </c>
      <c r="AX17" s="16" t="s">
        <v>56</v>
      </c>
      <c r="AY17" s="7" t="s">
        <v>48</v>
      </c>
      <c r="AZ17" s="7" t="s">
        <v>253</v>
      </c>
      <c r="BA17" s="7"/>
    </row>
    <row r="18" spans="1:53" ht="14.4" customHeight="1" x14ac:dyDescent="0.3">
      <c r="A18" s="30" t="s">
        <v>177</v>
      </c>
      <c r="B18" s="30" t="s">
        <v>309</v>
      </c>
      <c r="C18" s="30" t="s">
        <v>44</v>
      </c>
      <c r="D18" s="7" t="s">
        <v>44</v>
      </c>
      <c r="E18" s="30" t="s">
        <v>181</v>
      </c>
      <c r="F18" s="30" t="s">
        <v>309</v>
      </c>
      <c r="G18" s="30" t="s">
        <v>45</v>
      </c>
      <c r="H18" s="7" t="s">
        <v>45</v>
      </c>
      <c r="I18" s="30" t="s">
        <v>185</v>
      </c>
      <c r="J18" s="30" t="s">
        <v>309</v>
      </c>
      <c r="K18" s="30" t="s">
        <v>298</v>
      </c>
      <c r="L18" s="7" t="s">
        <v>298</v>
      </c>
      <c r="M18" s="30" t="s">
        <v>189</v>
      </c>
      <c r="N18" s="30" t="s">
        <v>309</v>
      </c>
      <c r="O18" s="30" t="s">
        <v>300</v>
      </c>
      <c r="P18" s="15" t="s">
        <v>300</v>
      </c>
      <c r="Q18" s="34">
        <v>100</v>
      </c>
      <c r="R18" s="30" t="s">
        <v>193</v>
      </c>
      <c r="S18" s="30" t="s">
        <v>309</v>
      </c>
      <c r="T18" s="30" t="s">
        <v>276</v>
      </c>
      <c r="U18" s="7" t="s">
        <v>223</v>
      </c>
      <c r="V18" s="19" t="s">
        <v>68</v>
      </c>
      <c r="W18" s="7" t="s">
        <v>59</v>
      </c>
      <c r="X18" s="30" t="s">
        <v>197</v>
      </c>
      <c r="Y18" s="30" t="s">
        <v>309</v>
      </c>
      <c r="Z18" s="30" t="s">
        <v>224</v>
      </c>
      <c r="AA18" s="7" t="s">
        <v>224</v>
      </c>
      <c r="AB18" s="36">
        <v>100</v>
      </c>
      <c r="AC18" s="30" t="s">
        <v>201</v>
      </c>
      <c r="AD18" s="30" t="s">
        <v>309</v>
      </c>
      <c r="AE18" s="30" t="s">
        <v>290</v>
      </c>
      <c r="AF18" s="7" t="s">
        <v>254</v>
      </c>
      <c r="AG18" s="7" t="s">
        <v>230</v>
      </c>
      <c r="AH18" s="30" t="s">
        <v>211</v>
      </c>
      <c r="AI18" s="30" t="s">
        <v>309</v>
      </c>
      <c r="AJ18" s="30" t="s">
        <v>296</v>
      </c>
      <c r="AK18" s="7" t="s">
        <v>250</v>
      </c>
      <c r="AL18" s="19" t="s">
        <v>60</v>
      </c>
      <c r="AM18" s="7" t="s">
        <v>69</v>
      </c>
      <c r="AN18" s="7" t="s">
        <v>231</v>
      </c>
      <c r="AO18" s="7" t="s">
        <v>48</v>
      </c>
      <c r="AP18" s="7" t="s">
        <v>48</v>
      </c>
      <c r="AQ18" s="7" t="s">
        <v>48</v>
      </c>
      <c r="AR18" s="7" t="s">
        <v>48</v>
      </c>
      <c r="AS18" s="7" t="s">
        <v>48</v>
      </c>
      <c r="AT18" s="7" t="s">
        <v>48</v>
      </c>
      <c r="AU18" s="7" t="s">
        <v>48</v>
      </c>
      <c r="AV18" s="35">
        <v>80</v>
      </c>
      <c r="AW18" s="35">
        <v>80</v>
      </c>
      <c r="AX18" s="16" t="s">
        <v>56</v>
      </c>
      <c r="AY18" s="7" t="s">
        <v>48</v>
      </c>
      <c r="AZ18" s="7" t="s">
        <v>255</v>
      </c>
      <c r="BA18" s="7" t="s">
        <v>256</v>
      </c>
    </row>
    <row r="19" spans="1:53" x14ac:dyDescent="0.3">
      <c r="A19" s="30" t="s">
        <v>213</v>
      </c>
      <c r="B19" s="30" t="s">
        <v>309</v>
      </c>
      <c r="C19" s="30" t="s">
        <v>44</v>
      </c>
      <c r="D19" s="7" t="s">
        <v>44</v>
      </c>
      <c r="E19" s="30" t="s">
        <v>214</v>
      </c>
      <c r="F19" s="30" t="s">
        <v>309</v>
      </c>
      <c r="G19" s="30" t="s">
        <v>45</v>
      </c>
      <c r="H19" s="7" t="s">
        <v>45</v>
      </c>
      <c r="I19" s="30" t="s">
        <v>215</v>
      </c>
      <c r="J19" s="30" t="s">
        <v>309</v>
      </c>
      <c r="K19" s="30" t="s">
        <v>298</v>
      </c>
      <c r="L19" s="7" t="s">
        <v>298</v>
      </c>
      <c r="M19" s="30" t="s">
        <v>216</v>
      </c>
      <c r="N19" s="30" t="s">
        <v>309</v>
      </c>
      <c r="O19" s="30" t="s">
        <v>301</v>
      </c>
      <c r="P19" s="15" t="s">
        <v>301</v>
      </c>
      <c r="Q19" s="34">
        <v>100</v>
      </c>
      <c r="R19" s="30" t="s">
        <v>217</v>
      </c>
      <c r="S19" s="30" t="s">
        <v>309</v>
      </c>
      <c r="T19" s="30" t="s">
        <v>276</v>
      </c>
      <c r="U19" s="7" t="s">
        <v>223</v>
      </c>
      <c r="V19" s="19" t="s">
        <v>68</v>
      </c>
      <c r="W19" s="7" t="s">
        <v>59</v>
      </c>
      <c r="X19" s="30" t="s">
        <v>218</v>
      </c>
      <c r="Y19" s="30" t="s">
        <v>309</v>
      </c>
      <c r="Z19" s="30" t="s">
        <v>257</v>
      </c>
      <c r="AA19" s="7" t="s">
        <v>257</v>
      </c>
      <c r="AB19" s="36">
        <v>100</v>
      </c>
      <c r="AC19" s="30" t="s">
        <v>219</v>
      </c>
      <c r="AD19" s="30" t="s">
        <v>309</v>
      </c>
      <c r="AE19" s="30" t="s">
        <v>305</v>
      </c>
      <c r="AF19" s="7" t="s">
        <v>304</v>
      </c>
      <c r="AG19" s="7" t="s">
        <v>240</v>
      </c>
      <c r="AH19" s="30" t="s">
        <v>220</v>
      </c>
      <c r="AI19" s="30" t="s">
        <v>309</v>
      </c>
      <c r="AJ19" s="30" t="s">
        <v>296</v>
      </c>
      <c r="AK19" s="7" t="s">
        <v>250</v>
      </c>
      <c r="AL19" s="19" t="s">
        <v>60</v>
      </c>
      <c r="AM19" s="7" t="s">
        <v>69</v>
      </c>
      <c r="AN19" s="7" t="s">
        <v>241</v>
      </c>
      <c r="AO19" s="7" t="s">
        <v>48</v>
      </c>
      <c r="AP19" s="7" t="s">
        <v>48</v>
      </c>
      <c r="AQ19" s="7" t="s">
        <v>48</v>
      </c>
      <c r="AR19" s="7" t="s">
        <v>48</v>
      </c>
      <c r="AS19" s="7" t="s">
        <v>48</v>
      </c>
      <c r="AT19" s="7" t="s">
        <v>48</v>
      </c>
      <c r="AU19" s="7" t="s">
        <v>48</v>
      </c>
      <c r="AV19" s="35">
        <v>90</v>
      </c>
      <c r="AW19" s="35">
        <v>90</v>
      </c>
      <c r="AX19" s="16" t="s">
        <v>56</v>
      </c>
      <c r="AY19" s="7" t="s">
        <v>48</v>
      </c>
      <c r="AZ19" s="7" t="s">
        <v>258</v>
      </c>
      <c r="BA19" s="7"/>
    </row>
    <row r="20" spans="1:53" x14ac:dyDescent="0.3">
      <c r="A20" s="30" t="s">
        <v>266</v>
      </c>
      <c r="B20" s="30" t="s">
        <v>309</v>
      </c>
      <c r="C20" s="30" t="s">
        <v>44</v>
      </c>
      <c r="D20" s="7" t="s">
        <v>44</v>
      </c>
      <c r="E20" s="30" t="s">
        <v>268</v>
      </c>
      <c r="F20" s="30" t="s">
        <v>309</v>
      </c>
      <c r="G20" s="30" t="s">
        <v>45</v>
      </c>
      <c r="H20" s="7" t="s">
        <v>45</v>
      </c>
      <c r="I20" s="30" t="s">
        <v>270</v>
      </c>
      <c r="J20" s="30" t="s">
        <v>309</v>
      </c>
      <c r="K20" s="30" t="s">
        <v>298</v>
      </c>
      <c r="L20" s="7" t="s">
        <v>298</v>
      </c>
      <c r="M20" s="30" t="s">
        <v>272</v>
      </c>
      <c r="N20" s="30" t="s">
        <v>309</v>
      </c>
      <c r="O20" s="30" t="s">
        <v>302</v>
      </c>
      <c r="P20" s="15" t="s">
        <v>302</v>
      </c>
      <c r="Q20" s="34">
        <v>100</v>
      </c>
      <c r="R20" s="30" t="s">
        <v>274</v>
      </c>
      <c r="S20" s="30" t="s">
        <v>309</v>
      </c>
      <c r="T20" s="30" t="s">
        <v>278</v>
      </c>
      <c r="U20" s="7" t="s">
        <v>244</v>
      </c>
      <c r="V20" s="19" t="s">
        <v>259</v>
      </c>
      <c r="W20" s="7" t="s">
        <v>59</v>
      </c>
      <c r="X20" s="30" t="s">
        <v>279</v>
      </c>
      <c r="Y20" s="30" t="s">
        <v>309</v>
      </c>
      <c r="Z20" s="30" t="s">
        <v>306</v>
      </c>
      <c r="AA20" s="7" t="s">
        <v>306</v>
      </c>
      <c r="AB20" s="36">
        <v>100</v>
      </c>
      <c r="AC20" s="30" t="s">
        <v>281</v>
      </c>
      <c r="AD20" s="30" t="s">
        <v>309</v>
      </c>
      <c r="AE20" s="30" t="s">
        <v>291</v>
      </c>
      <c r="AF20" s="7" t="s">
        <v>260</v>
      </c>
      <c r="AG20" s="7" t="s">
        <v>240</v>
      </c>
      <c r="AH20" s="30" t="s">
        <v>293</v>
      </c>
      <c r="AI20" s="30" t="s">
        <v>309</v>
      </c>
      <c r="AJ20" s="30" t="s">
        <v>296</v>
      </c>
      <c r="AK20" s="7" t="s">
        <v>250</v>
      </c>
      <c r="AL20" s="19" t="s">
        <v>60</v>
      </c>
      <c r="AM20" s="7" t="s">
        <v>69</v>
      </c>
      <c r="AN20" s="7" t="s">
        <v>241</v>
      </c>
      <c r="AO20" s="7" t="s">
        <v>48</v>
      </c>
      <c r="AP20" s="7" t="s">
        <v>48</v>
      </c>
      <c r="AQ20" s="7" t="s">
        <v>48</v>
      </c>
      <c r="AR20" s="7" t="s">
        <v>48</v>
      </c>
      <c r="AS20" s="7" t="s">
        <v>48</v>
      </c>
      <c r="AT20" s="7" t="s">
        <v>48</v>
      </c>
      <c r="AU20" s="7" t="s">
        <v>48</v>
      </c>
      <c r="AV20" s="35">
        <v>100</v>
      </c>
      <c r="AW20" s="35">
        <v>100</v>
      </c>
      <c r="AX20" s="16" t="s">
        <v>56</v>
      </c>
      <c r="AY20" s="7" t="s">
        <v>48</v>
      </c>
      <c r="AZ20" s="7" t="s">
        <v>261</v>
      </c>
      <c r="BA20" s="7"/>
    </row>
    <row r="21" spans="1:53" x14ac:dyDescent="0.3">
      <c r="A21" s="30" t="s">
        <v>267</v>
      </c>
      <c r="B21" s="30" t="s">
        <v>309</v>
      </c>
      <c r="C21" s="30" t="s">
        <v>44</v>
      </c>
      <c r="D21" s="7" t="s">
        <v>44</v>
      </c>
      <c r="E21" s="30" t="s">
        <v>269</v>
      </c>
      <c r="F21" s="30" t="s">
        <v>309</v>
      </c>
      <c r="G21" s="30" t="s">
        <v>221</v>
      </c>
      <c r="H21" s="7" t="s">
        <v>221</v>
      </c>
      <c r="I21" s="30" t="s">
        <v>271</v>
      </c>
      <c r="J21" s="30" t="s">
        <v>309</v>
      </c>
      <c r="K21" s="30" t="s">
        <v>46</v>
      </c>
      <c r="L21" s="7" t="s">
        <v>46</v>
      </c>
      <c r="M21" s="30" t="s">
        <v>273</v>
      </c>
      <c r="N21" s="30" t="s">
        <v>309</v>
      </c>
      <c r="O21" s="30" t="s">
        <v>222</v>
      </c>
      <c r="P21" s="15" t="s">
        <v>222</v>
      </c>
      <c r="Q21" s="34">
        <v>34</v>
      </c>
      <c r="R21" s="30" t="s">
        <v>275</v>
      </c>
      <c r="S21" s="30" t="s">
        <v>309</v>
      </c>
      <c r="T21" s="30" t="s">
        <v>276</v>
      </c>
      <c r="U21" s="7" t="s">
        <v>223</v>
      </c>
      <c r="V21" s="19" t="s">
        <v>68</v>
      </c>
      <c r="W21" s="7" t="s">
        <v>59</v>
      </c>
      <c r="X21" s="30" t="s">
        <v>280</v>
      </c>
      <c r="Y21" s="30" t="s">
        <v>309</v>
      </c>
      <c r="Z21" s="30" t="s">
        <v>308</v>
      </c>
      <c r="AA21" s="7" t="s">
        <v>308</v>
      </c>
      <c r="AB21" s="36">
        <v>100</v>
      </c>
      <c r="AC21" s="30" t="s">
        <v>282</v>
      </c>
      <c r="AD21" s="30" t="s">
        <v>309</v>
      </c>
      <c r="AE21" s="30" t="s">
        <v>292</v>
      </c>
      <c r="AF21" s="7" t="s">
        <v>262</v>
      </c>
      <c r="AG21" s="7" t="s">
        <v>53</v>
      </c>
      <c r="AH21" s="30" t="s">
        <v>294</v>
      </c>
      <c r="AI21" s="30" t="s">
        <v>309</v>
      </c>
      <c r="AJ21" s="30" t="s">
        <v>297</v>
      </c>
      <c r="AK21" s="7" t="s">
        <v>263</v>
      </c>
      <c r="AL21" s="19" t="s">
        <v>264</v>
      </c>
      <c r="AM21" s="7" t="s">
        <v>69</v>
      </c>
      <c r="AN21" s="7" t="s">
        <v>265</v>
      </c>
      <c r="AO21" s="7" t="s">
        <v>48</v>
      </c>
      <c r="AP21" s="7" t="s">
        <v>48</v>
      </c>
      <c r="AQ21" s="7" t="s">
        <v>48</v>
      </c>
      <c r="AR21" s="7" t="s">
        <v>48</v>
      </c>
      <c r="AS21" s="7" t="s">
        <v>48</v>
      </c>
      <c r="AT21" s="7" t="s">
        <v>48</v>
      </c>
      <c r="AU21" s="7" t="s">
        <v>48</v>
      </c>
      <c r="AV21" s="35">
        <v>10</v>
      </c>
      <c r="AW21" s="35">
        <v>10</v>
      </c>
      <c r="AX21" s="16" t="s">
        <v>56</v>
      </c>
      <c r="AY21" s="7" t="s">
        <v>48</v>
      </c>
      <c r="AZ21" s="7" t="s">
        <v>49</v>
      </c>
      <c r="BA21" s="7"/>
    </row>
  </sheetData>
  <autoFilter ref="A10:BA10" xr:uid="{00000000-0001-0000-0000-000000000000}"/>
  <dataConsolidate/>
  <mergeCells count="11">
    <mergeCell ref="A6:D6"/>
    <mergeCell ref="A7:D7"/>
    <mergeCell ref="F1:I1"/>
    <mergeCell ref="F2:I2"/>
    <mergeCell ref="F6:I6"/>
    <mergeCell ref="F7:I7"/>
    <mergeCell ref="A1:D1"/>
    <mergeCell ref="A2:D2"/>
    <mergeCell ref="A3:D3"/>
    <mergeCell ref="A4:D4"/>
    <mergeCell ref="A5:D5"/>
  </mergeCells>
  <phoneticPr fontId="4" type="noConversion"/>
  <dataValidations xWindow="1288" yWindow="770" count="2">
    <dataValidation type="decimal" allowBlank="1" showInputMessage="1" showErrorMessage="1" errorTitle="Data Validation Error" error="You have input a value that is not allowed in this column!" promptTitle="Data Validation Constraints" prompt="Please make sure that you only input numeric values, to 6 decimal places, that are between the values of zero (0) and one hundred (100)." sqref="Q11:Q21 AB11:AB21 AV11:AW21" xr:uid="{18BB38B8-5A17-48CC-A041-339266126A62}">
      <formula1>0</formula1>
      <formula2>100</formula2>
    </dataValidation>
    <dataValidation type="custom" allowBlank="1" showInputMessage="1" showErrorMessage="1" errorTitle="Data Validation Error" error="You have input a value that is not allowed in this column!" promptTitle="Data Validation Constraints" prompt="Please make sure that you only input text values, which are either exactly &quot;Yes&quot; (obviously without the double quotation marks), or exactly &quot;No&quot; (obviously without the double quotation marks)." sqref="AX11:AX21" xr:uid="{25BEF863-5131-47AC-869F-6FE4F1C085B0}">
      <formula1>IF(AX11 = "Yes", 1, IF(AX11 = "No", 1, 0))</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iddick_Scale_Ranking_Algorithm_Main">
                <anchor moveWithCells="1" sizeWithCells="1">
                  <from>
                    <xdr:col>5</xdr:col>
                    <xdr:colOff>205740</xdr:colOff>
                    <xdr:row>2</xdr:row>
                    <xdr:rowOff>198120</xdr:rowOff>
                  </from>
                  <to>
                    <xdr:col>8</xdr:col>
                    <xdr:colOff>1219200</xdr:colOff>
                    <xdr:row>4</xdr:row>
                    <xdr:rowOff>2164080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8411D-F62B-4EB9-B4AB-B6A23E1F9D13}">
  <sheetPr codeName="Sheet11"/>
  <dimension ref="A1:O14"/>
  <sheetViews>
    <sheetView zoomScale="85" zoomScaleNormal="85" workbookViewId="0"/>
  </sheetViews>
  <sheetFormatPr defaultRowHeight="14.4" x14ac:dyDescent="0.3"/>
  <cols>
    <col min="1" max="1" width="39.44140625" style="26" bestFit="1" customWidth="1"/>
    <col min="2" max="2" width="40.44140625" style="26" customWidth="1"/>
    <col min="3" max="3" width="1.5546875" style="26" bestFit="1" customWidth="1"/>
    <col min="4" max="4" width="72.6640625" style="26" bestFit="1" customWidth="1"/>
    <col min="5" max="5" width="45.21875" style="26" bestFit="1" customWidth="1"/>
    <col min="6" max="6" width="1.5546875" style="26" bestFit="1" customWidth="1"/>
    <col min="7" max="7" width="16.109375" style="26" bestFit="1" customWidth="1"/>
    <col min="8" max="15" width="15" style="26" bestFit="1" customWidth="1"/>
    <col min="16" max="16384" width="8.88671875" style="26"/>
  </cols>
  <sheetData>
    <row r="1" spans="1:15" ht="93" thickBot="1" x14ac:dyDescent="0.35">
      <c r="A1" s="24" t="s">
        <v>131</v>
      </c>
      <c r="B1" s="23" t="s">
        <v>132</v>
      </c>
      <c r="C1" t="s">
        <v>134</v>
      </c>
      <c r="D1" s="24" t="s">
        <v>130</v>
      </c>
      <c r="E1" s="23" t="s">
        <v>156</v>
      </c>
      <c r="F1" t="s">
        <v>134</v>
      </c>
      <c r="G1" s="42" t="s">
        <v>146</v>
      </c>
      <c r="H1" s="43"/>
      <c r="I1" s="43"/>
      <c r="J1" s="43"/>
      <c r="K1" s="43"/>
      <c r="L1" s="43"/>
      <c r="M1" s="43"/>
      <c r="N1" s="43"/>
      <c r="O1" s="44"/>
    </row>
    <row r="2" spans="1:15" ht="47.4" thickTop="1" thickBot="1" x14ac:dyDescent="0.35">
      <c r="A2" s="23" t="s">
        <v>110</v>
      </c>
      <c r="B2" s="27">
        <v>0</v>
      </c>
      <c r="C2"/>
      <c r="D2" s="23" t="s">
        <v>157</v>
      </c>
      <c r="E2" s="25">
        <v>0</v>
      </c>
      <c r="F2"/>
      <c r="G2" s="45"/>
      <c r="H2" s="46"/>
      <c r="I2" s="46"/>
      <c r="J2" s="46"/>
      <c r="K2" s="46"/>
      <c r="L2" s="46"/>
      <c r="M2" s="46"/>
      <c r="N2" s="46"/>
      <c r="O2" s="47"/>
    </row>
    <row r="3" spans="1:15" ht="15" thickTop="1" x14ac:dyDescent="0.3">
      <c r="A3" t="s">
        <v>134</v>
      </c>
      <c r="B3"/>
      <c r="C3"/>
      <c r="D3"/>
      <c r="E3"/>
      <c r="F3"/>
      <c r="G3"/>
      <c r="H3"/>
      <c r="I3"/>
      <c r="J3"/>
      <c r="K3"/>
      <c r="L3"/>
      <c r="M3"/>
      <c r="N3"/>
      <c r="O3"/>
    </row>
    <row r="4" spans="1:15" ht="108" x14ac:dyDescent="0.3">
      <c r="A4" s="22" t="s">
        <v>129</v>
      </c>
      <c r="B4" s="22" t="s">
        <v>126</v>
      </c>
      <c r="C4"/>
      <c r="D4" s="23" t="s">
        <v>128</v>
      </c>
      <c r="E4" s="23" t="s">
        <v>133</v>
      </c>
      <c r="F4"/>
      <c r="G4" s="37" t="s">
        <v>135</v>
      </c>
      <c r="H4" s="37" t="s">
        <v>117</v>
      </c>
      <c r="I4" s="37" t="s">
        <v>118</v>
      </c>
      <c r="J4" s="37" t="s">
        <v>119</v>
      </c>
      <c r="K4" s="37" t="s">
        <v>120</v>
      </c>
      <c r="L4" s="37" t="s">
        <v>121</v>
      </c>
      <c r="M4" s="37" t="s">
        <v>122</v>
      </c>
      <c r="N4" s="37" t="s">
        <v>123</v>
      </c>
      <c r="O4" s="37" t="s">
        <v>127</v>
      </c>
    </row>
    <row r="5" spans="1:15" x14ac:dyDescent="0.3">
      <c r="A5" s="23" t="s">
        <v>105</v>
      </c>
      <c r="B5" s="23">
        <v>70</v>
      </c>
      <c r="C5"/>
      <c r="D5" s="23" t="s">
        <v>105</v>
      </c>
      <c r="E5" s="23">
        <v>1</v>
      </c>
      <c r="F5"/>
      <c r="G5" s="37">
        <v>1</v>
      </c>
      <c r="H5" s="37">
        <v>1</v>
      </c>
      <c r="I5" s="37">
        <v>1</v>
      </c>
      <c r="J5" s="37">
        <v>1</v>
      </c>
      <c r="K5" s="37">
        <v>1</v>
      </c>
      <c r="L5" s="37">
        <v>1</v>
      </c>
      <c r="M5" s="37">
        <v>1</v>
      </c>
      <c r="N5" s="37">
        <v>1</v>
      </c>
      <c r="O5" s="37">
        <v>1</v>
      </c>
    </row>
    <row r="6" spans="1:15" x14ac:dyDescent="0.3">
      <c r="A6" s="23" t="s">
        <v>106</v>
      </c>
      <c r="B6" s="23">
        <v>60</v>
      </c>
      <c r="C6"/>
      <c r="D6" s="23" t="s">
        <v>106</v>
      </c>
      <c r="E6" s="23">
        <v>3</v>
      </c>
      <c r="F6"/>
      <c r="G6" s="37">
        <v>3</v>
      </c>
      <c r="H6" s="37">
        <v>3</v>
      </c>
      <c r="I6" s="37">
        <v>3</v>
      </c>
      <c r="J6" s="37">
        <v>3</v>
      </c>
      <c r="K6" s="37">
        <v>3</v>
      </c>
      <c r="L6" s="37">
        <v>3</v>
      </c>
      <c r="M6" s="37">
        <v>3</v>
      </c>
      <c r="N6" s="37">
        <v>3</v>
      </c>
      <c r="O6" s="37">
        <v>1</v>
      </c>
    </row>
    <row r="7" spans="1:15" x14ac:dyDescent="0.3">
      <c r="A7" s="23" t="s">
        <v>107</v>
      </c>
      <c r="B7" s="23">
        <v>50</v>
      </c>
      <c r="C7"/>
      <c r="D7" s="23" t="s">
        <v>107</v>
      </c>
      <c r="E7" s="23">
        <v>7</v>
      </c>
      <c r="F7"/>
      <c r="G7" s="37">
        <v>7</v>
      </c>
      <c r="H7" s="37">
        <v>7</v>
      </c>
      <c r="I7" s="37">
        <v>7</v>
      </c>
      <c r="J7" s="37">
        <v>7</v>
      </c>
      <c r="K7" s="37">
        <v>7</v>
      </c>
      <c r="L7" s="37">
        <v>7</v>
      </c>
      <c r="M7" s="37">
        <v>3</v>
      </c>
      <c r="N7" s="37">
        <v>1</v>
      </c>
      <c r="O7" s="37" t="s">
        <v>124</v>
      </c>
    </row>
    <row r="8" spans="1:15" x14ac:dyDescent="0.3">
      <c r="A8" s="23" t="s">
        <v>108</v>
      </c>
      <c r="B8" s="23">
        <v>40</v>
      </c>
      <c r="C8"/>
      <c r="D8" s="23" t="s">
        <v>108</v>
      </c>
      <c r="E8" s="23">
        <v>3</v>
      </c>
      <c r="F8"/>
      <c r="G8" s="37">
        <v>11</v>
      </c>
      <c r="H8" s="37">
        <v>11</v>
      </c>
      <c r="I8" s="37">
        <v>11</v>
      </c>
      <c r="J8" s="37">
        <v>11</v>
      </c>
      <c r="K8" s="37">
        <v>7</v>
      </c>
      <c r="L8" s="37">
        <v>3</v>
      </c>
      <c r="M8" s="37">
        <v>1</v>
      </c>
      <c r="N8" s="37" t="s">
        <v>124</v>
      </c>
      <c r="O8" s="37" t="s">
        <v>124</v>
      </c>
    </row>
    <row r="9" spans="1:15" x14ac:dyDescent="0.3">
      <c r="A9" s="23" t="s">
        <v>111</v>
      </c>
      <c r="B9" s="23">
        <v>30</v>
      </c>
      <c r="C9"/>
      <c r="D9" s="23" t="s">
        <v>111</v>
      </c>
      <c r="E9" s="23">
        <v>1</v>
      </c>
      <c r="F9"/>
      <c r="G9" s="37">
        <v>13</v>
      </c>
      <c r="H9" s="37">
        <v>13</v>
      </c>
      <c r="I9" s="37">
        <v>11</v>
      </c>
      <c r="J9" s="37">
        <v>7</v>
      </c>
      <c r="K9" s="37">
        <v>3</v>
      </c>
      <c r="L9" s="37">
        <v>1</v>
      </c>
      <c r="M9" s="37" t="s">
        <v>124</v>
      </c>
      <c r="N9" s="37" t="s">
        <v>124</v>
      </c>
      <c r="O9" s="37" t="s">
        <v>124</v>
      </c>
    </row>
    <row r="10" spans="1:15" x14ac:dyDescent="0.3">
      <c r="A10" s="23" t="s">
        <v>113</v>
      </c>
      <c r="B10" s="23" t="s">
        <v>124</v>
      </c>
      <c r="C10"/>
      <c r="D10" s="23" t="s">
        <v>113</v>
      </c>
      <c r="E10" s="23" t="s">
        <v>124</v>
      </c>
      <c r="F10"/>
      <c r="G10" s="37">
        <v>13</v>
      </c>
      <c r="H10" s="37">
        <v>11</v>
      </c>
      <c r="I10" s="37">
        <v>7</v>
      </c>
      <c r="J10" s="37">
        <v>3</v>
      </c>
      <c r="K10" s="37">
        <v>1</v>
      </c>
      <c r="L10" s="37" t="s">
        <v>124</v>
      </c>
      <c r="M10" s="37" t="s">
        <v>124</v>
      </c>
      <c r="N10" s="37" t="s">
        <v>124</v>
      </c>
      <c r="O10" s="37" t="s">
        <v>124</v>
      </c>
    </row>
    <row r="11" spans="1:15" x14ac:dyDescent="0.3">
      <c r="A11" s="23" t="s">
        <v>116</v>
      </c>
      <c r="B11" s="23" t="s">
        <v>124</v>
      </c>
      <c r="C11"/>
      <c r="D11" s="23" t="s">
        <v>116</v>
      </c>
      <c r="E11" s="23" t="s">
        <v>124</v>
      </c>
      <c r="F11"/>
      <c r="G11" s="37">
        <v>11</v>
      </c>
      <c r="H11" s="37">
        <v>7</v>
      </c>
      <c r="I11" s="37">
        <v>3</v>
      </c>
      <c r="J11" s="37">
        <v>1</v>
      </c>
      <c r="K11" s="37" t="s">
        <v>124</v>
      </c>
      <c r="L11" s="37" t="s">
        <v>124</v>
      </c>
      <c r="M11" s="37" t="s">
        <v>124</v>
      </c>
      <c r="N11" s="37" t="s">
        <v>124</v>
      </c>
      <c r="O11" s="37" t="s">
        <v>124</v>
      </c>
    </row>
    <row r="12" spans="1:15" x14ac:dyDescent="0.3">
      <c r="A12" s="23" t="s">
        <v>115</v>
      </c>
      <c r="B12" s="23" t="s">
        <v>124</v>
      </c>
      <c r="C12"/>
      <c r="D12" s="23" t="s">
        <v>115</v>
      </c>
      <c r="E12" s="23" t="s">
        <v>124</v>
      </c>
      <c r="F12"/>
      <c r="G12" s="37">
        <v>7</v>
      </c>
      <c r="H12" s="37">
        <v>3</v>
      </c>
      <c r="I12" s="37">
        <v>1</v>
      </c>
      <c r="J12" s="37" t="s">
        <v>124</v>
      </c>
      <c r="K12" s="37" t="s">
        <v>124</v>
      </c>
      <c r="L12" s="37" t="s">
        <v>124</v>
      </c>
      <c r="M12" s="37" t="s">
        <v>124</v>
      </c>
      <c r="N12" s="37" t="s">
        <v>124</v>
      </c>
      <c r="O12" s="37" t="s">
        <v>124</v>
      </c>
    </row>
    <row r="13" spans="1:15" x14ac:dyDescent="0.3">
      <c r="A13" s="23" t="s">
        <v>114</v>
      </c>
      <c r="B13" s="23" t="s">
        <v>124</v>
      </c>
      <c r="C13"/>
      <c r="D13" s="23" t="s">
        <v>114</v>
      </c>
      <c r="E13" s="23" t="s">
        <v>124</v>
      </c>
      <c r="F13"/>
      <c r="G13" s="37">
        <v>3</v>
      </c>
      <c r="H13" s="37">
        <v>1</v>
      </c>
      <c r="I13" s="37" t="s">
        <v>124</v>
      </c>
      <c r="J13" s="37" t="s">
        <v>124</v>
      </c>
      <c r="K13" s="37" t="s">
        <v>124</v>
      </c>
      <c r="L13" s="37" t="s">
        <v>124</v>
      </c>
      <c r="M13" s="37" t="s">
        <v>124</v>
      </c>
      <c r="N13" s="37" t="s">
        <v>124</v>
      </c>
      <c r="O13" s="37" t="s">
        <v>124</v>
      </c>
    </row>
    <row r="14" spans="1:15" ht="28.8" x14ac:dyDescent="0.3">
      <c r="A14" s="23" t="s">
        <v>112</v>
      </c>
      <c r="B14" s="23" t="s">
        <v>109</v>
      </c>
      <c r="C14"/>
      <c r="D14" s="23" t="s">
        <v>112</v>
      </c>
      <c r="E14" s="23" t="s">
        <v>124</v>
      </c>
      <c r="F14"/>
      <c r="G14" s="37">
        <v>1</v>
      </c>
      <c r="H14" s="37" t="s">
        <v>124</v>
      </c>
      <c r="I14" s="37" t="s">
        <v>124</v>
      </c>
      <c r="J14" s="37" t="s">
        <v>124</v>
      </c>
      <c r="K14" s="37" t="s">
        <v>124</v>
      </c>
      <c r="L14" s="37" t="s">
        <v>124</v>
      </c>
      <c r="M14" s="37" t="s">
        <v>124</v>
      </c>
      <c r="N14" s="37" t="s">
        <v>124</v>
      </c>
      <c r="O14" s="37" t="s">
        <v>124</v>
      </c>
    </row>
  </sheetData>
  <mergeCells count="1">
    <mergeCell ref="G1:O2"/>
  </mergeCells>
  <phoneticPr fontId="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D0744-71B4-4575-B10D-397103C00A92}">
  <sheetPr codeName="Sheet2"/>
  <dimension ref="A1:BE18"/>
  <sheetViews>
    <sheetView zoomScale="85" zoomScaleNormal="85" workbookViewId="0"/>
  </sheetViews>
  <sheetFormatPr defaultRowHeight="14.4" x14ac:dyDescent="0.3"/>
  <cols>
    <col min="1" max="1" width="25.109375" customWidth="1"/>
    <col min="2" max="4" width="23.33203125" bestFit="1" customWidth="1"/>
    <col min="5" max="6" width="22.21875" bestFit="1" customWidth="1"/>
    <col min="7" max="7" width="24.21875" bestFit="1" customWidth="1"/>
    <col min="8" max="8" width="27.44140625" bestFit="1" customWidth="1"/>
    <col min="9" max="12" width="20.109375" bestFit="1" customWidth="1"/>
    <col min="13" max="16" width="23" bestFit="1" customWidth="1"/>
    <col min="17" max="17" width="37.109375" bestFit="1" customWidth="1"/>
    <col min="18" max="21" width="19.6640625" bestFit="1" customWidth="1"/>
    <col min="22" max="22" width="70.77734375" bestFit="1" customWidth="1"/>
    <col min="23" max="23" width="43" bestFit="1" customWidth="1"/>
    <col min="24" max="27" width="23" bestFit="1" customWidth="1"/>
    <col min="28" max="28" width="31.88671875" bestFit="1" customWidth="1"/>
    <col min="29" max="29" width="18.6640625" customWidth="1"/>
    <col min="30" max="30" width="18.6640625" bestFit="1" customWidth="1"/>
    <col min="31" max="31" width="44.88671875" bestFit="1" customWidth="1"/>
    <col min="32" max="32" width="48" bestFit="1" customWidth="1"/>
    <col min="33" max="33" width="62.21875" bestFit="1" customWidth="1"/>
    <col min="34" max="34" width="63" bestFit="1" customWidth="1"/>
    <col min="35" max="38" width="20.77734375" bestFit="1" customWidth="1"/>
    <col min="39" max="39" width="71.88671875" bestFit="1" customWidth="1"/>
    <col min="40" max="40" width="39.109375" customWidth="1"/>
    <col min="41" max="41" width="65.21875" bestFit="1" customWidth="1"/>
    <col min="42" max="42" width="24.5546875" bestFit="1" customWidth="1"/>
    <col min="43" max="43" width="35.6640625" bestFit="1" customWidth="1"/>
    <col min="44" max="44" width="30.21875" bestFit="1" customWidth="1"/>
    <col min="45" max="45" width="33.44140625" bestFit="1" customWidth="1"/>
    <col min="46" max="47" width="23.5546875" bestFit="1" customWidth="1"/>
    <col min="48" max="48" width="34.44140625" bestFit="1" customWidth="1"/>
    <col min="49" max="49" width="35.21875" bestFit="1" customWidth="1"/>
    <col min="50" max="50" width="35.33203125" bestFit="1" customWidth="1"/>
    <col min="51" max="51" width="35" customWidth="1"/>
    <col min="52" max="52" width="19.77734375" bestFit="1" customWidth="1"/>
    <col min="53" max="53" width="55" customWidth="1"/>
    <col min="54" max="54" width="26.6640625" bestFit="1" customWidth="1"/>
    <col min="55" max="55" width="73.77734375" bestFit="1" customWidth="1"/>
    <col min="56" max="56" width="17.109375" bestFit="1" customWidth="1"/>
    <col min="57" max="57" width="26.44140625" bestFit="1" customWidth="1"/>
  </cols>
  <sheetData>
    <row r="1" spans="1:57" ht="25.8" x14ac:dyDescent="0.5">
      <c r="A1" s="1" t="s">
        <v>40</v>
      </c>
    </row>
    <row r="2" spans="1:57" x14ac:dyDescent="0.3">
      <c r="A2" s="2"/>
    </row>
    <row r="3" spans="1:57" ht="33" customHeight="1" x14ac:dyDescent="0.3">
      <c r="A3" s="48" t="s">
        <v>62</v>
      </c>
      <c r="B3" s="48"/>
      <c r="C3" s="48"/>
      <c r="D3" s="48"/>
      <c r="E3" s="48"/>
      <c r="F3" s="48"/>
      <c r="G3" s="48"/>
      <c r="H3" s="48"/>
      <c r="I3" s="48"/>
      <c r="J3" s="48"/>
    </row>
    <row r="4" spans="1:57" ht="54.6" customHeight="1" x14ac:dyDescent="0.3">
      <c r="A4" s="48" t="s">
        <v>65</v>
      </c>
      <c r="B4" s="48"/>
      <c r="C4" s="48"/>
      <c r="D4" s="48"/>
      <c r="E4" s="48"/>
      <c r="F4" s="48"/>
      <c r="G4" s="48"/>
      <c r="H4" s="48"/>
      <c r="I4" s="48"/>
      <c r="J4" s="48"/>
    </row>
    <row r="5" spans="1:57" x14ac:dyDescent="0.3">
      <c r="C5" s="2"/>
    </row>
    <row r="6" spans="1:57" x14ac:dyDescent="0.3">
      <c r="A6" s="4" t="s">
        <v>31</v>
      </c>
      <c r="B6" s="4" t="s">
        <v>31</v>
      </c>
      <c r="C6" s="4" t="s">
        <v>31</v>
      </c>
      <c r="D6" s="4" t="s">
        <v>31</v>
      </c>
      <c r="E6" s="4" t="s">
        <v>30</v>
      </c>
      <c r="F6" s="4" t="s">
        <v>30</v>
      </c>
      <c r="G6" s="4" t="s">
        <v>30</v>
      </c>
      <c r="H6" s="4" t="s">
        <v>30</v>
      </c>
      <c r="I6" s="4" t="s">
        <v>26</v>
      </c>
      <c r="J6" s="4" t="s">
        <v>26</v>
      </c>
      <c r="K6" s="4" t="s">
        <v>26</v>
      </c>
      <c r="L6" s="4" t="s">
        <v>26</v>
      </c>
      <c r="M6" s="4" t="s">
        <v>29</v>
      </c>
      <c r="N6" s="4" t="s">
        <v>29</v>
      </c>
      <c r="O6" s="4" t="s">
        <v>29</v>
      </c>
      <c r="P6" s="4" t="s">
        <v>29</v>
      </c>
      <c r="Q6" s="4" t="s">
        <v>29</v>
      </c>
      <c r="R6" s="4" t="s">
        <v>32</v>
      </c>
      <c r="S6" s="4" t="s">
        <v>32</v>
      </c>
      <c r="T6" s="4" t="s">
        <v>32</v>
      </c>
      <c r="U6" s="4" t="s">
        <v>32</v>
      </c>
      <c r="V6" s="4" t="s">
        <v>32</v>
      </c>
      <c r="W6" s="4" t="s">
        <v>32</v>
      </c>
      <c r="X6" s="4" t="s">
        <v>28</v>
      </c>
      <c r="Y6" s="4" t="s">
        <v>28</v>
      </c>
      <c r="Z6" s="4" t="s">
        <v>28</v>
      </c>
      <c r="AA6" s="4" t="s">
        <v>28</v>
      </c>
      <c r="AB6" s="4" t="s">
        <v>28</v>
      </c>
      <c r="AC6" s="4" t="s">
        <v>27</v>
      </c>
      <c r="AD6" s="4" t="s">
        <v>27</v>
      </c>
      <c r="AE6" s="4" t="s">
        <v>27</v>
      </c>
      <c r="AF6" s="4" t="s">
        <v>27</v>
      </c>
      <c r="AG6" s="4" t="s">
        <v>27</v>
      </c>
      <c r="AH6" s="4" t="s">
        <v>27</v>
      </c>
      <c r="AI6" s="4" t="s">
        <v>33</v>
      </c>
      <c r="AJ6" s="4" t="s">
        <v>33</v>
      </c>
      <c r="AK6" s="4" t="s">
        <v>33</v>
      </c>
      <c r="AL6" s="4" t="s">
        <v>33</v>
      </c>
      <c r="AM6" s="4" t="s">
        <v>33</v>
      </c>
      <c r="AN6" s="4" t="s">
        <v>33</v>
      </c>
      <c r="AO6" s="4" t="s">
        <v>33</v>
      </c>
      <c r="AP6" s="10" t="s">
        <v>37</v>
      </c>
      <c r="AQ6" s="10" t="s">
        <v>37</v>
      </c>
      <c r="AR6" s="10" t="s">
        <v>37</v>
      </c>
      <c r="AS6" s="10" t="s">
        <v>37</v>
      </c>
      <c r="AT6" s="5" t="s">
        <v>35</v>
      </c>
      <c r="AU6" s="5" t="s">
        <v>35</v>
      </c>
      <c r="AV6" s="5" t="s">
        <v>35</v>
      </c>
      <c r="AW6" s="5" t="s">
        <v>35</v>
      </c>
      <c r="AX6" s="5" t="s">
        <v>35</v>
      </c>
      <c r="AY6" s="5" t="s">
        <v>35</v>
      </c>
      <c r="AZ6" s="5" t="s">
        <v>35</v>
      </c>
      <c r="BA6" s="5" t="s">
        <v>35</v>
      </c>
      <c r="BB6" s="5" t="s">
        <v>35</v>
      </c>
      <c r="BC6" s="6" t="s">
        <v>25</v>
      </c>
      <c r="BD6" s="6" t="s">
        <v>25</v>
      </c>
      <c r="BE6" s="6" t="s">
        <v>25</v>
      </c>
    </row>
    <row r="7" spans="1:57" x14ac:dyDescent="0.3">
      <c r="A7" s="21" t="s">
        <v>12</v>
      </c>
      <c r="B7" s="21" t="s">
        <v>125</v>
      </c>
      <c r="C7" s="21" t="s">
        <v>2</v>
      </c>
      <c r="D7" s="21" t="s">
        <v>3</v>
      </c>
      <c r="E7" s="21" t="s">
        <v>12</v>
      </c>
      <c r="F7" s="21" t="s">
        <v>125</v>
      </c>
      <c r="G7" s="21" t="s">
        <v>7</v>
      </c>
      <c r="H7" s="21" t="s">
        <v>4</v>
      </c>
      <c r="I7" s="4" t="s">
        <v>12</v>
      </c>
      <c r="J7" s="4" t="s">
        <v>125</v>
      </c>
      <c r="K7" s="4" t="s">
        <v>5</v>
      </c>
      <c r="L7" s="4" t="s">
        <v>6</v>
      </c>
      <c r="M7" s="4" t="s">
        <v>12</v>
      </c>
      <c r="N7" s="4" t="s">
        <v>125</v>
      </c>
      <c r="O7" s="4" t="s">
        <v>1</v>
      </c>
      <c r="P7" s="4" t="s">
        <v>0</v>
      </c>
      <c r="Q7" s="15" t="s">
        <v>137</v>
      </c>
      <c r="R7" s="4" t="s">
        <v>12</v>
      </c>
      <c r="S7" s="4" t="s">
        <v>125</v>
      </c>
      <c r="T7" s="4" t="s">
        <v>21</v>
      </c>
      <c r="U7" s="4" t="s">
        <v>22</v>
      </c>
      <c r="V7" s="4" t="s">
        <v>67</v>
      </c>
      <c r="W7" s="8" t="s">
        <v>71</v>
      </c>
      <c r="X7" s="4" t="s">
        <v>12</v>
      </c>
      <c r="Y7" s="4" t="s">
        <v>125</v>
      </c>
      <c r="Z7" s="4" t="s">
        <v>8</v>
      </c>
      <c r="AA7" s="4" t="s">
        <v>9</v>
      </c>
      <c r="AB7" s="12" t="s">
        <v>138</v>
      </c>
      <c r="AC7" s="4" t="s">
        <v>12</v>
      </c>
      <c r="AD7" s="4" t="s">
        <v>125</v>
      </c>
      <c r="AE7" s="4" t="s">
        <v>10</v>
      </c>
      <c r="AF7" s="4" t="s">
        <v>11</v>
      </c>
      <c r="AG7" s="8" t="s">
        <v>66</v>
      </c>
      <c r="AH7" s="12" t="s">
        <v>139</v>
      </c>
      <c r="AI7" s="4" t="s">
        <v>12</v>
      </c>
      <c r="AJ7" s="4" t="s">
        <v>125</v>
      </c>
      <c r="AK7" s="4" t="s">
        <v>17</v>
      </c>
      <c r="AL7" s="4" t="s">
        <v>18</v>
      </c>
      <c r="AM7" s="4" t="s">
        <v>70</v>
      </c>
      <c r="AN7" s="8" t="s">
        <v>61</v>
      </c>
      <c r="AO7" s="8" t="s">
        <v>73</v>
      </c>
      <c r="AP7" s="11" t="s">
        <v>51</v>
      </c>
      <c r="AQ7" s="11" t="s">
        <v>52</v>
      </c>
      <c r="AR7" s="11" t="s">
        <v>38</v>
      </c>
      <c r="AS7" s="11" t="s">
        <v>39</v>
      </c>
      <c r="AT7" s="3" t="s">
        <v>19</v>
      </c>
      <c r="AU7" s="5" t="s">
        <v>15</v>
      </c>
      <c r="AV7" s="5" t="s">
        <v>14</v>
      </c>
      <c r="AW7" s="5" t="s">
        <v>13</v>
      </c>
      <c r="AX7" s="5" t="s">
        <v>16</v>
      </c>
      <c r="AY7" s="3" t="s">
        <v>20</v>
      </c>
      <c r="AZ7" s="5" t="s">
        <v>36</v>
      </c>
      <c r="BA7" s="13" t="s">
        <v>43</v>
      </c>
      <c r="BB7" s="13" t="s">
        <v>42</v>
      </c>
      <c r="BC7" s="6" t="s">
        <v>41</v>
      </c>
      <c r="BD7" s="6" t="s">
        <v>23</v>
      </c>
      <c r="BE7" s="6" t="s">
        <v>34</v>
      </c>
    </row>
    <row r="8" spans="1:57" x14ac:dyDescent="0.3">
      <c r="A8" s="7"/>
      <c r="B8" s="7"/>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19"/>
      <c r="AJ8" s="7"/>
      <c r="AK8" s="7"/>
      <c r="AL8" s="7"/>
      <c r="AM8" s="7"/>
      <c r="AN8" s="7"/>
      <c r="AO8" s="7"/>
      <c r="AP8" s="7"/>
      <c r="AQ8" s="7"/>
      <c r="AR8" s="7"/>
      <c r="AS8" s="7"/>
      <c r="AT8" s="7"/>
      <c r="AU8" s="7"/>
      <c r="AV8" s="7"/>
      <c r="AW8" s="7"/>
      <c r="AX8" s="7"/>
      <c r="AY8" s="7"/>
      <c r="AZ8" s="7"/>
      <c r="BA8" s="7"/>
      <c r="BB8" s="9"/>
      <c r="BC8" s="7"/>
      <c r="BD8" s="7"/>
      <c r="BE8" s="7"/>
    </row>
    <row r="9" spans="1:57" x14ac:dyDescent="0.3">
      <c r="A9" s="7"/>
      <c r="B9" s="7"/>
      <c r="C9" s="7"/>
      <c r="D9" s="7"/>
      <c r="E9" s="7"/>
      <c r="F9" s="7"/>
      <c r="G9" s="7"/>
      <c r="H9" s="7"/>
      <c r="I9" s="7"/>
      <c r="J9" s="7"/>
      <c r="K9" s="7"/>
      <c r="L9" s="7"/>
      <c r="M9" s="7"/>
      <c r="N9" s="7"/>
      <c r="O9" s="7"/>
      <c r="P9" s="7"/>
      <c r="Q9" s="7"/>
      <c r="R9" s="7"/>
      <c r="S9" s="7"/>
      <c r="T9" s="7"/>
      <c r="U9" s="7"/>
      <c r="V9" s="7"/>
      <c r="W9" s="7"/>
      <c r="X9" s="7"/>
      <c r="Y9" s="7"/>
      <c r="Z9" s="7"/>
      <c r="AA9" s="7"/>
      <c r="AB9" s="7"/>
      <c r="AC9" s="7"/>
      <c r="AD9" s="7"/>
      <c r="AE9" s="7"/>
      <c r="AF9" s="7"/>
      <c r="AG9" s="7"/>
      <c r="AH9" s="7"/>
      <c r="AI9" s="19"/>
      <c r="AJ9" s="7"/>
      <c r="AK9" s="7"/>
      <c r="AL9" s="7"/>
      <c r="AM9" s="7"/>
      <c r="AN9" s="7"/>
      <c r="AO9" s="7"/>
      <c r="AP9" s="7"/>
      <c r="AQ9" s="7"/>
      <c r="AR9" s="7"/>
      <c r="AS9" s="7"/>
      <c r="AT9" s="7"/>
      <c r="AU9" s="7"/>
      <c r="AV9" s="7"/>
      <c r="AW9" s="7"/>
      <c r="AX9" s="7"/>
      <c r="AY9" s="7"/>
      <c r="AZ9" s="7"/>
      <c r="BA9" s="7"/>
      <c r="BB9" s="9"/>
      <c r="BC9" s="7"/>
      <c r="BD9" s="7"/>
      <c r="BE9" s="7"/>
    </row>
    <row r="10" spans="1:57" x14ac:dyDescent="0.3">
      <c r="A10" s="7"/>
      <c r="B10" s="7"/>
      <c r="C10" s="7"/>
      <c r="D10" s="7"/>
      <c r="E10" s="7"/>
      <c r="F10" s="7"/>
      <c r="G10" s="7"/>
      <c r="H10" s="7"/>
      <c r="I10" s="7"/>
      <c r="J10" s="7"/>
      <c r="K10" s="7"/>
      <c r="L10" s="7"/>
      <c r="M10" s="7"/>
      <c r="N10" s="7"/>
      <c r="O10" s="7"/>
      <c r="P10" s="7"/>
      <c r="Q10" s="7"/>
      <c r="R10" s="7"/>
      <c r="S10" s="7"/>
      <c r="T10" s="7"/>
      <c r="U10" s="7"/>
      <c r="V10" s="7"/>
      <c r="W10" s="7"/>
      <c r="X10" s="7"/>
      <c r="Y10" s="7"/>
      <c r="Z10" s="7"/>
      <c r="AA10" s="7"/>
      <c r="AB10" s="7"/>
      <c r="AC10" s="7"/>
      <c r="AD10" s="7"/>
      <c r="AE10" s="7"/>
      <c r="AF10" s="7"/>
      <c r="AG10" s="7"/>
      <c r="AH10" s="7"/>
      <c r="AI10" s="19"/>
      <c r="AJ10" s="7"/>
      <c r="AK10" s="7"/>
      <c r="AL10" s="7"/>
      <c r="AM10" s="7"/>
      <c r="AN10" s="7"/>
      <c r="AO10" s="7"/>
      <c r="AP10" s="7"/>
      <c r="AQ10" s="7"/>
      <c r="AR10" s="7"/>
      <c r="AS10" s="7"/>
      <c r="AT10" s="7"/>
      <c r="AU10" s="7"/>
      <c r="AV10" s="7"/>
      <c r="AW10" s="7"/>
      <c r="AX10" s="7"/>
      <c r="AY10" s="7"/>
      <c r="AZ10" s="7"/>
      <c r="BA10" s="7"/>
      <c r="BB10" s="9"/>
      <c r="BC10" s="7"/>
      <c r="BD10" s="7"/>
      <c r="BE10" s="7"/>
    </row>
    <row r="11" spans="1:57" x14ac:dyDescent="0.3">
      <c r="A11" s="7"/>
      <c r="B11" s="7"/>
      <c r="C11" s="7"/>
      <c r="D11" s="7"/>
      <c r="E11" s="7"/>
      <c r="F11" s="7"/>
      <c r="G11" s="7"/>
      <c r="H11" s="7"/>
      <c r="I11" s="7"/>
      <c r="J11" s="7"/>
      <c r="K11" s="7"/>
      <c r="L11" s="7"/>
      <c r="M11" s="7"/>
      <c r="N11" s="7"/>
      <c r="O11" s="7"/>
      <c r="P11" s="7"/>
      <c r="Q11" s="7"/>
      <c r="R11" s="7"/>
      <c r="S11" s="7"/>
      <c r="T11" s="7"/>
      <c r="U11" s="7"/>
      <c r="V11" s="7"/>
      <c r="W11" s="7"/>
      <c r="X11" s="7"/>
      <c r="Y11" s="7"/>
      <c r="Z11" s="7"/>
      <c r="AA11" s="7"/>
      <c r="AB11" s="7"/>
      <c r="AC11" s="7"/>
      <c r="AD11" s="7"/>
      <c r="AE11" s="7"/>
      <c r="AF11" s="7"/>
      <c r="AG11" s="7"/>
      <c r="AH11" s="7"/>
      <c r="AI11" s="19"/>
      <c r="AJ11" s="7"/>
      <c r="AK11" s="7"/>
      <c r="AL11" s="7"/>
      <c r="AM11" s="7"/>
      <c r="AN11" s="7"/>
      <c r="AO11" s="7"/>
      <c r="AP11" s="7"/>
      <c r="AQ11" s="7"/>
      <c r="AR11" s="7"/>
      <c r="AS11" s="7"/>
      <c r="AT11" s="7"/>
      <c r="AU11" s="7"/>
      <c r="AV11" s="7"/>
      <c r="AW11" s="7"/>
      <c r="AX11" s="7"/>
      <c r="AY11" s="7"/>
      <c r="AZ11" s="7"/>
      <c r="BA11" s="7"/>
      <c r="BB11" s="9"/>
      <c r="BC11" s="7"/>
      <c r="BD11" s="7"/>
      <c r="BE11" s="7"/>
    </row>
    <row r="12" spans="1:57" x14ac:dyDescent="0.3">
      <c r="A12" s="7"/>
      <c r="B12" s="7"/>
      <c r="C12" s="7"/>
      <c r="D12" s="7"/>
      <c r="E12" s="7"/>
      <c r="F12" s="7"/>
      <c r="G12" s="7"/>
      <c r="H12" s="7"/>
      <c r="I12" s="7"/>
      <c r="J12" s="7"/>
      <c r="K12" s="7"/>
      <c r="L12" s="7"/>
      <c r="M12" s="7"/>
      <c r="N12" s="7"/>
      <c r="O12" s="7"/>
      <c r="P12" s="7"/>
      <c r="Q12" s="7"/>
      <c r="R12" s="7"/>
      <c r="S12" s="7"/>
      <c r="T12" s="7"/>
      <c r="U12" s="7"/>
      <c r="V12" s="7"/>
      <c r="W12" s="7"/>
      <c r="X12" s="7"/>
      <c r="Y12" s="7"/>
      <c r="Z12" s="7"/>
      <c r="AA12" s="7"/>
      <c r="AB12" s="7"/>
      <c r="AC12" s="7"/>
      <c r="AD12" s="7"/>
      <c r="AE12" s="7"/>
      <c r="AF12" s="7"/>
      <c r="AG12" s="7"/>
      <c r="AH12" s="7"/>
      <c r="AI12" s="19"/>
      <c r="AJ12" s="7"/>
      <c r="AK12" s="7"/>
      <c r="AL12" s="7"/>
      <c r="AM12" s="7"/>
      <c r="AN12" s="7"/>
      <c r="AO12" s="7"/>
      <c r="AP12" s="7"/>
      <c r="AQ12" s="7"/>
      <c r="AR12" s="7"/>
      <c r="AS12" s="7"/>
      <c r="AT12" s="7"/>
      <c r="AU12" s="7"/>
      <c r="AV12" s="7"/>
      <c r="AW12" s="7"/>
      <c r="AX12" s="7"/>
      <c r="AY12" s="7"/>
      <c r="AZ12" s="7"/>
      <c r="BA12" s="7"/>
      <c r="BB12" s="9"/>
      <c r="BC12" s="7"/>
      <c r="BD12" s="7"/>
      <c r="BE12" s="7"/>
    </row>
    <row r="13" spans="1:57" x14ac:dyDescent="0.3">
      <c r="A13" s="7"/>
      <c r="B13" s="7"/>
      <c r="C13" s="7"/>
      <c r="D13" s="7"/>
      <c r="E13" s="7"/>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c r="AI13" s="19"/>
      <c r="AJ13" s="7"/>
      <c r="AK13" s="7"/>
      <c r="AL13" s="7"/>
      <c r="AM13" s="7"/>
      <c r="AN13" s="7"/>
      <c r="AO13" s="7"/>
      <c r="AP13" s="7"/>
      <c r="AQ13" s="7"/>
      <c r="AR13" s="7"/>
      <c r="AS13" s="7"/>
      <c r="AT13" s="7"/>
      <c r="AU13" s="7"/>
      <c r="AV13" s="7"/>
      <c r="AW13" s="7"/>
      <c r="AX13" s="7"/>
      <c r="AY13" s="7"/>
      <c r="AZ13" s="7"/>
      <c r="BA13" s="7"/>
      <c r="BB13" s="9"/>
      <c r="BC13" s="7"/>
      <c r="BD13" s="7"/>
      <c r="BE13" s="7"/>
    </row>
    <row r="14" spans="1:57" x14ac:dyDescent="0.3">
      <c r="A14" s="7"/>
      <c r="B14" s="7"/>
      <c r="C14" s="7"/>
      <c r="D14" s="7"/>
      <c r="E14" s="7"/>
      <c r="F14" s="7"/>
      <c r="G14" s="7"/>
      <c r="H14" s="7"/>
      <c r="I14" s="7"/>
      <c r="J14" s="7"/>
      <c r="K14" s="7"/>
      <c r="L14" s="7"/>
      <c r="M14" s="7"/>
      <c r="N14" s="7"/>
      <c r="O14" s="7"/>
      <c r="P14" s="7"/>
      <c r="Q14" s="7"/>
      <c r="R14" s="7"/>
      <c r="S14" s="7"/>
      <c r="T14" s="7"/>
      <c r="U14" s="7"/>
      <c r="V14" s="7"/>
      <c r="W14" s="7"/>
      <c r="X14" s="7"/>
      <c r="Y14" s="7"/>
      <c r="Z14" s="7"/>
      <c r="AA14" s="7"/>
      <c r="AB14" s="7"/>
      <c r="AC14" s="7"/>
      <c r="AD14" s="7"/>
      <c r="AE14" s="7"/>
      <c r="AF14" s="7"/>
      <c r="AG14" s="7"/>
      <c r="AH14" s="7"/>
      <c r="AI14" s="19"/>
      <c r="AJ14" s="7"/>
      <c r="AK14" s="7"/>
      <c r="AL14" s="7"/>
      <c r="AM14" s="7"/>
      <c r="AN14" s="7"/>
      <c r="AO14" s="7"/>
      <c r="AP14" s="7"/>
      <c r="AQ14" s="7"/>
      <c r="AR14" s="7"/>
      <c r="AS14" s="7"/>
      <c r="AT14" s="7"/>
      <c r="AU14" s="7"/>
      <c r="AV14" s="7"/>
      <c r="AW14" s="7"/>
      <c r="AX14" s="7"/>
      <c r="AY14" s="7"/>
      <c r="AZ14" s="7"/>
      <c r="BA14" s="7"/>
      <c r="BB14" s="9"/>
      <c r="BC14" s="7"/>
      <c r="BD14" s="7"/>
      <c r="BE14" s="7"/>
    </row>
    <row r="15" spans="1:57" x14ac:dyDescent="0.3">
      <c r="A15" s="7"/>
      <c r="B15" s="7"/>
      <c r="C15" s="7"/>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c r="AI15" s="19"/>
      <c r="AJ15" s="7"/>
      <c r="AK15" s="7"/>
      <c r="AL15" s="7"/>
      <c r="AM15" s="7"/>
      <c r="AN15" s="7"/>
      <c r="AO15" s="7"/>
      <c r="AP15" s="7"/>
      <c r="AQ15" s="7"/>
      <c r="AR15" s="7"/>
      <c r="AS15" s="7"/>
      <c r="AT15" s="7"/>
      <c r="AU15" s="7"/>
      <c r="AV15" s="7"/>
      <c r="AW15" s="7"/>
      <c r="AX15" s="7"/>
      <c r="AY15" s="7"/>
      <c r="AZ15" s="9"/>
      <c r="BA15" s="7"/>
      <c r="BB15" s="7"/>
      <c r="BC15" s="7"/>
      <c r="BD15" s="20"/>
      <c r="BE15" s="20"/>
    </row>
    <row r="16" spans="1:57" x14ac:dyDescent="0.3">
      <c r="A16" s="7"/>
      <c r="B16" s="7"/>
      <c r="C16" s="7"/>
      <c r="D16" s="7"/>
      <c r="E16" s="7"/>
      <c r="F16" s="7"/>
      <c r="G16" s="7"/>
      <c r="H16" s="7"/>
      <c r="I16" s="7"/>
      <c r="J16" s="7"/>
      <c r="K16" s="7"/>
      <c r="L16" s="7"/>
      <c r="M16" s="7"/>
      <c r="N16" s="7"/>
      <c r="O16" s="7"/>
      <c r="P16" s="7"/>
      <c r="Q16" s="7"/>
      <c r="R16" s="7"/>
      <c r="S16" s="7"/>
      <c r="T16" s="7"/>
      <c r="U16" s="7"/>
      <c r="V16" s="7"/>
      <c r="W16" s="7"/>
      <c r="X16" s="7"/>
      <c r="Y16" s="7"/>
      <c r="Z16" s="7"/>
      <c r="AA16" s="7"/>
      <c r="AB16" s="7"/>
      <c r="AC16" s="7"/>
      <c r="AD16" s="7"/>
      <c r="AE16" s="7"/>
      <c r="AF16" s="7"/>
      <c r="AG16" s="7"/>
      <c r="AH16" s="7"/>
      <c r="AI16" s="19"/>
      <c r="AJ16" s="7"/>
      <c r="AK16" s="7"/>
      <c r="AL16" s="7"/>
      <c r="AM16" s="7"/>
      <c r="AN16" s="7"/>
      <c r="AO16" s="7"/>
      <c r="AP16" s="7"/>
      <c r="AQ16" s="7"/>
      <c r="AR16" s="7"/>
      <c r="AS16" s="7"/>
      <c r="AT16" s="7"/>
      <c r="AU16" s="7"/>
      <c r="AV16" s="7"/>
      <c r="AW16" s="7"/>
      <c r="AX16" s="7"/>
      <c r="AY16" s="7"/>
      <c r="AZ16" s="9"/>
      <c r="BA16" s="7"/>
      <c r="BB16" s="7"/>
      <c r="BC16" s="7"/>
      <c r="BD16" s="20"/>
      <c r="BE16" s="20"/>
    </row>
    <row r="17" spans="1:57" x14ac:dyDescent="0.3">
      <c r="A17" s="7"/>
      <c r="B17" s="7"/>
      <c r="C17" s="7"/>
      <c r="D17" s="7"/>
      <c r="E17" s="7"/>
      <c r="F17" s="7"/>
      <c r="G17" s="7"/>
      <c r="H17" s="7"/>
      <c r="I17" s="7"/>
      <c r="J17" s="7"/>
      <c r="K17" s="7"/>
      <c r="L17" s="7"/>
      <c r="M17" s="7"/>
      <c r="N17" s="7"/>
      <c r="O17" s="7"/>
      <c r="P17" s="7"/>
      <c r="Q17" s="7"/>
      <c r="R17" s="7"/>
      <c r="S17" s="7"/>
      <c r="T17" s="7"/>
      <c r="U17" s="7"/>
      <c r="V17" s="7"/>
      <c r="W17" s="7"/>
      <c r="X17" s="7"/>
      <c r="Y17" s="7"/>
      <c r="Z17" s="7"/>
      <c r="AA17" s="7"/>
      <c r="AB17" s="7"/>
      <c r="AC17" s="7"/>
      <c r="AD17" s="7"/>
      <c r="AE17" s="7"/>
      <c r="AF17" s="7"/>
      <c r="AG17" s="7"/>
      <c r="AH17" s="7"/>
      <c r="AI17" s="19"/>
      <c r="AJ17" s="7"/>
      <c r="AK17" s="7"/>
      <c r="AL17" s="7"/>
      <c r="AM17" s="7"/>
      <c r="AN17" s="7"/>
      <c r="AO17" s="7"/>
      <c r="AP17" s="7"/>
      <c r="AQ17" s="7"/>
      <c r="AR17" s="7"/>
      <c r="AS17" s="7"/>
      <c r="AT17" s="7"/>
      <c r="AU17" s="7"/>
      <c r="AV17" s="7"/>
      <c r="AW17" s="7"/>
      <c r="AX17" s="7"/>
      <c r="AY17" s="7"/>
      <c r="AZ17" s="9"/>
      <c r="BA17" s="7"/>
      <c r="BB17" s="7"/>
      <c r="BC17" s="7"/>
      <c r="BD17" s="20"/>
      <c r="BE17" s="20"/>
    </row>
    <row r="18" spans="1:57" x14ac:dyDescent="0.3">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19"/>
      <c r="AJ18" s="7"/>
      <c r="AK18" s="7"/>
      <c r="AL18" s="7"/>
      <c r="AM18" s="7"/>
      <c r="AN18" s="7"/>
      <c r="AO18" s="7"/>
      <c r="AP18" s="7"/>
      <c r="AQ18" s="7"/>
      <c r="AR18" s="7"/>
      <c r="AS18" s="7"/>
      <c r="AT18" s="7"/>
      <c r="AU18" s="7"/>
      <c r="AV18" s="7"/>
      <c r="AW18" s="7"/>
      <c r="AX18" s="7"/>
      <c r="AY18" s="7"/>
      <c r="AZ18" s="9"/>
      <c r="BA18" s="7"/>
      <c r="BB18" s="7"/>
      <c r="BC18" s="7"/>
      <c r="BD18" s="20"/>
      <c r="BE18" s="20"/>
    </row>
  </sheetData>
  <mergeCells count="2">
    <mergeCell ref="A3:J3"/>
    <mergeCell ref="A4:J4"/>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23AF9-CFCA-49D0-B87C-F34B996FA8C2}">
  <sheetPr codeName="Sheet6"/>
  <dimension ref="A1:K7"/>
  <sheetViews>
    <sheetView zoomScale="85" zoomScaleNormal="85" workbookViewId="0"/>
  </sheetViews>
  <sheetFormatPr defaultRowHeight="14.4" x14ac:dyDescent="0.3"/>
  <cols>
    <col min="1" max="11" width="20" customWidth="1"/>
  </cols>
  <sheetData>
    <row r="1" spans="1:11" x14ac:dyDescent="0.3">
      <c r="A1" t="s">
        <v>310</v>
      </c>
    </row>
    <row r="3" spans="1:11" x14ac:dyDescent="0.3">
      <c r="A3" t="s">
        <v>31</v>
      </c>
      <c r="B3" t="s">
        <v>30</v>
      </c>
      <c r="C3" t="s">
        <v>26</v>
      </c>
      <c r="D3" t="s">
        <v>33</v>
      </c>
      <c r="E3" t="s">
        <v>33</v>
      </c>
      <c r="F3" t="s">
        <v>33</v>
      </c>
      <c r="G3" t="s">
        <v>103</v>
      </c>
      <c r="H3" t="s">
        <v>103</v>
      </c>
      <c r="I3" t="s">
        <v>103</v>
      </c>
      <c r="J3" t="s">
        <v>103</v>
      </c>
      <c r="K3" t="s">
        <v>103</v>
      </c>
    </row>
    <row r="4" spans="1:11" x14ac:dyDescent="0.3">
      <c r="A4" t="s">
        <v>3</v>
      </c>
      <c r="B4" t="s">
        <v>4</v>
      </c>
      <c r="C4" t="s">
        <v>6</v>
      </c>
      <c r="D4" t="s">
        <v>18</v>
      </c>
      <c r="E4" t="s">
        <v>70</v>
      </c>
      <c r="F4" t="s">
        <v>61</v>
      </c>
      <c r="G4" t="s">
        <v>158</v>
      </c>
      <c r="H4" t="s">
        <v>159</v>
      </c>
      <c r="I4" t="s">
        <v>160</v>
      </c>
      <c r="J4" t="s">
        <v>161</v>
      </c>
      <c r="K4" t="s">
        <v>162</v>
      </c>
    </row>
    <row r="5" spans="1:11" x14ac:dyDescent="0.3">
      <c r="A5" t="s">
        <v>44</v>
      </c>
      <c r="B5" t="s">
        <v>45</v>
      </c>
      <c r="C5" t="s">
        <v>298</v>
      </c>
      <c r="D5" t="s">
        <v>250</v>
      </c>
      <c r="E5" t="s">
        <v>60</v>
      </c>
      <c r="F5" s="31">
        <v>45295</v>
      </c>
      <c r="G5">
        <v>80</v>
      </c>
      <c r="H5">
        <v>80</v>
      </c>
      <c r="I5" t="s">
        <v>56</v>
      </c>
      <c r="J5">
        <v>1</v>
      </c>
      <c r="K5" t="s">
        <v>105</v>
      </c>
    </row>
    <row r="6" spans="1:11" x14ac:dyDescent="0.3">
      <c r="A6" t="s">
        <v>44</v>
      </c>
      <c r="B6" t="s">
        <v>221</v>
      </c>
      <c r="C6" t="s">
        <v>46</v>
      </c>
      <c r="D6" t="s">
        <v>226</v>
      </c>
      <c r="E6" t="s">
        <v>227</v>
      </c>
      <c r="F6" s="31">
        <v>45295</v>
      </c>
      <c r="G6">
        <v>40</v>
      </c>
      <c r="H6">
        <v>62.4</v>
      </c>
      <c r="I6" t="s">
        <v>56</v>
      </c>
      <c r="J6">
        <v>2</v>
      </c>
      <c r="K6" t="s">
        <v>106</v>
      </c>
    </row>
    <row r="7" spans="1:11" x14ac:dyDescent="0.3">
      <c r="A7" t="s">
        <v>44</v>
      </c>
      <c r="B7" t="s">
        <v>221</v>
      </c>
      <c r="C7" t="s">
        <v>46</v>
      </c>
      <c r="D7" t="s">
        <v>263</v>
      </c>
      <c r="E7" t="s">
        <v>264</v>
      </c>
      <c r="F7" s="31">
        <v>45295</v>
      </c>
      <c r="G7">
        <v>13.3</v>
      </c>
      <c r="H7">
        <v>23.2</v>
      </c>
      <c r="I7" t="s">
        <v>56</v>
      </c>
      <c r="J7">
        <v>3</v>
      </c>
      <c r="K7" t="s">
        <v>112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7D87A-DFDD-452F-A691-2C985CAC16F7}">
  <sheetPr codeName="Sheet7"/>
  <dimension ref="A1:O13"/>
  <sheetViews>
    <sheetView zoomScale="85" zoomScaleNormal="85" workbookViewId="0"/>
  </sheetViews>
  <sheetFormatPr defaultRowHeight="14.4" x14ac:dyDescent="0.3"/>
  <cols>
    <col min="1" max="15" width="17.6640625" customWidth="1"/>
    <col min="16" max="16" width="128" bestFit="1" customWidth="1"/>
  </cols>
  <sheetData>
    <row r="1" spans="1:15" x14ac:dyDescent="0.3">
      <c r="A1" t="s">
        <v>310</v>
      </c>
    </row>
    <row r="3" spans="1:15" x14ac:dyDescent="0.3">
      <c r="A3" t="s">
        <v>31</v>
      </c>
      <c r="B3" t="s">
        <v>30</v>
      </c>
      <c r="C3" t="s">
        <v>26</v>
      </c>
      <c r="D3" t="s">
        <v>29</v>
      </c>
      <c r="E3" t="s">
        <v>103</v>
      </c>
      <c r="F3" t="s">
        <v>103</v>
      </c>
      <c r="G3" t="s">
        <v>103</v>
      </c>
      <c r="H3" t="s">
        <v>33</v>
      </c>
      <c r="I3" t="s">
        <v>33</v>
      </c>
      <c r="J3" t="s">
        <v>33</v>
      </c>
      <c r="K3" t="s">
        <v>103</v>
      </c>
      <c r="L3" t="s">
        <v>103</v>
      </c>
      <c r="M3" t="s">
        <v>103</v>
      </c>
      <c r="N3" t="s">
        <v>103</v>
      </c>
      <c r="O3" t="s">
        <v>103</v>
      </c>
    </row>
    <row r="4" spans="1:15" x14ac:dyDescent="0.3">
      <c r="A4" t="s">
        <v>3</v>
      </c>
      <c r="B4" t="s">
        <v>4</v>
      </c>
      <c r="C4" t="s">
        <v>6</v>
      </c>
      <c r="D4" t="s">
        <v>0</v>
      </c>
      <c r="E4" t="s">
        <v>203</v>
      </c>
      <c r="F4" t="s">
        <v>165</v>
      </c>
      <c r="G4" t="s">
        <v>168</v>
      </c>
      <c r="H4" t="s">
        <v>18</v>
      </c>
      <c r="I4" t="s">
        <v>70</v>
      </c>
      <c r="J4" t="s">
        <v>61</v>
      </c>
      <c r="K4" t="s">
        <v>169</v>
      </c>
      <c r="L4" t="s">
        <v>170</v>
      </c>
      <c r="M4" t="s">
        <v>171</v>
      </c>
      <c r="N4" t="s">
        <v>172</v>
      </c>
      <c r="O4" t="s">
        <v>173</v>
      </c>
    </row>
    <row r="5" spans="1:15" x14ac:dyDescent="0.3">
      <c r="A5" t="s">
        <v>44</v>
      </c>
      <c r="B5" t="s">
        <v>45</v>
      </c>
      <c r="C5" t="s">
        <v>298</v>
      </c>
      <c r="D5" t="s">
        <v>302</v>
      </c>
      <c r="E5">
        <v>100</v>
      </c>
      <c r="F5">
        <v>100</v>
      </c>
      <c r="G5">
        <v>1</v>
      </c>
      <c r="H5" t="s">
        <v>250</v>
      </c>
      <c r="I5" t="s">
        <v>60</v>
      </c>
      <c r="J5" s="31">
        <v>45295</v>
      </c>
      <c r="K5">
        <v>100</v>
      </c>
      <c r="L5">
        <v>100</v>
      </c>
      <c r="M5" t="s">
        <v>56</v>
      </c>
      <c r="N5">
        <v>1</v>
      </c>
      <c r="O5" t="s">
        <v>105</v>
      </c>
    </row>
    <row r="6" spans="1:15" x14ac:dyDescent="0.3">
      <c r="A6" t="s">
        <v>44</v>
      </c>
      <c r="B6" t="s">
        <v>45</v>
      </c>
      <c r="C6" t="s">
        <v>298</v>
      </c>
      <c r="D6" t="s">
        <v>301</v>
      </c>
      <c r="E6">
        <v>100</v>
      </c>
      <c r="F6">
        <v>100</v>
      </c>
      <c r="G6">
        <v>1</v>
      </c>
      <c r="H6" t="s">
        <v>250</v>
      </c>
      <c r="I6" t="s">
        <v>60</v>
      </c>
      <c r="J6" s="31">
        <v>45295</v>
      </c>
      <c r="K6">
        <v>90</v>
      </c>
      <c r="L6">
        <v>90</v>
      </c>
      <c r="M6" t="s">
        <v>56</v>
      </c>
      <c r="N6">
        <v>2</v>
      </c>
      <c r="O6" t="s">
        <v>105</v>
      </c>
    </row>
    <row r="7" spans="1:15" x14ac:dyDescent="0.3">
      <c r="A7" t="s">
        <v>44</v>
      </c>
      <c r="B7" t="s">
        <v>221</v>
      </c>
      <c r="C7" t="s">
        <v>46</v>
      </c>
      <c r="D7" t="s">
        <v>237</v>
      </c>
      <c r="E7">
        <v>100</v>
      </c>
      <c r="F7">
        <v>100</v>
      </c>
      <c r="G7">
        <v>1</v>
      </c>
      <c r="H7" t="s">
        <v>226</v>
      </c>
      <c r="I7" t="s">
        <v>227</v>
      </c>
      <c r="J7" s="31">
        <v>45295</v>
      </c>
      <c r="K7">
        <v>40</v>
      </c>
      <c r="L7">
        <v>88.2</v>
      </c>
      <c r="M7" t="s">
        <v>56</v>
      </c>
      <c r="N7">
        <v>3</v>
      </c>
      <c r="O7" t="s">
        <v>105</v>
      </c>
    </row>
    <row r="8" spans="1:15" x14ac:dyDescent="0.3">
      <c r="A8" t="s">
        <v>44</v>
      </c>
      <c r="B8" t="s">
        <v>45</v>
      </c>
      <c r="C8" t="s">
        <v>298</v>
      </c>
      <c r="D8" t="s">
        <v>300</v>
      </c>
      <c r="E8">
        <v>100</v>
      </c>
      <c r="F8">
        <v>100</v>
      </c>
      <c r="G8">
        <v>1</v>
      </c>
      <c r="H8" t="s">
        <v>250</v>
      </c>
      <c r="I8" t="s">
        <v>60</v>
      </c>
      <c r="J8" s="31">
        <v>45295</v>
      </c>
      <c r="K8">
        <v>80</v>
      </c>
      <c r="L8">
        <v>80</v>
      </c>
      <c r="M8" t="s">
        <v>56</v>
      </c>
      <c r="N8">
        <v>4</v>
      </c>
      <c r="O8" t="s">
        <v>105</v>
      </c>
    </row>
    <row r="9" spans="1:15" x14ac:dyDescent="0.3">
      <c r="A9" t="s">
        <v>44</v>
      </c>
      <c r="B9" t="s">
        <v>45</v>
      </c>
      <c r="C9" t="s">
        <v>298</v>
      </c>
      <c r="D9" t="s">
        <v>299</v>
      </c>
      <c r="E9">
        <v>100</v>
      </c>
      <c r="F9">
        <v>100</v>
      </c>
      <c r="G9">
        <v>1</v>
      </c>
      <c r="H9" t="s">
        <v>250</v>
      </c>
      <c r="I9" t="s">
        <v>60</v>
      </c>
      <c r="J9" s="31">
        <v>45295</v>
      </c>
      <c r="K9">
        <v>70</v>
      </c>
      <c r="L9">
        <v>70</v>
      </c>
      <c r="M9" t="s">
        <v>56</v>
      </c>
      <c r="N9">
        <v>5</v>
      </c>
      <c r="O9" t="s">
        <v>105</v>
      </c>
    </row>
    <row r="10" spans="1:15" x14ac:dyDescent="0.3">
      <c r="A10" t="s">
        <v>44</v>
      </c>
      <c r="B10" t="s">
        <v>45</v>
      </c>
      <c r="C10" t="s">
        <v>298</v>
      </c>
      <c r="D10" t="s">
        <v>303</v>
      </c>
      <c r="E10">
        <v>100</v>
      </c>
      <c r="F10">
        <v>100</v>
      </c>
      <c r="G10">
        <v>1</v>
      </c>
      <c r="H10" t="s">
        <v>250</v>
      </c>
      <c r="I10" t="s">
        <v>60</v>
      </c>
      <c r="J10" s="31">
        <v>45295</v>
      </c>
      <c r="K10">
        <v>60</v>
      </c>
      <c r="L10">
        <v>60</v>
      </c>
      <c r="M10" t="s">
        <v>56</v>
      </c>
      <c r="N10">
        <v>6</v>
      </c>
      <c r="O10" t="s">
        <v>106</v>
      </c>
    </row>
    <row r="11" spans="1:15" x14ac:dyDescent="0.3">
      <c r="A11" t="s">
        <v>44</v>
      </c>
      <c r="B11" t="s">
        <v>221</v>
      </c>
      <c r="C11" t="s">
        <v>46</v>
      </c>
      <c r="D11" t="s">
        <v>243</v>
      </c>
      <c r="E11">
        <v>100</v>
      </c>
      <c r="F11">
        <v>100</v>
      </c>
      <c r="G11">
        <v>1</v>
      </c>
      <c r="H11" t="s">
        <v>226</v>
      </c>
      <c r="I11" t="s">
        <v>227</v>
      </c>
      <c r="J11" s="31">
        <v>45295</v>
      </c>
      <c r="K11">
        <v>50</v>
      </c>
      <c r="L11">
        <v>50</v>
      </c>
      <c r="M11" t="s">
        <v>56</v>
      </c>
      <c r="N11">
        <v>7</v>
      </c>
      <c r="O11" t="s">
        <v>107</v>
      </c>
    </row>
    <row r="12" spans="1:15" x14ac:dyDescent="0.3">
      <c r="A12" t="s">
        <v>44</v>
      </c>
      <c r="B12" t="s">
        <v>221</v>
      </c>
      <c r="C12" t="s">
        <v>46</v>
      </c>
      <c r="D12" t="s">
        <v>233</v>
      </c>
      <c r="E12">
        <v>100</v>
      </c>
      <c r="F12">
        <v>100</v>
      </c>
      <c r="G12">
        <v>1</v>
      </c>
      <c r="H12" t="s">
        <v>226</v>
      </c>
      <c r="I12" t="s">
        <v>227</v>
      </c>
      <c r="J12" s="31">
        <v>45295</v>
      </c>
      <c r="K12">
        <v>30</v>
      </c>
      <c r="L12">
        <v>49</v>
      </c>
      <c r="M12" t="s">
        <v>56</v>
      </c>
      <c r="N12">
        <v>8</v>
      </c>
      <c r="O12" t="s">
        <v>108</v>
      </c>
    </row>
    <row r="13" spans="1:15" x14ac:dyDescent="0.3">
      <c r="A13" t="s">
        <v>44</v>
      </c>
      <c r="B13" t="s">
        <v>221</v>
      </c>
      <c r="C13" t="s">
        <v>46</v>
      </c>
      <c r="D13" t="s">
        <v>222</v>
      </c>
      <c r="E13">
        <v>100</v>
      </c>
      <c r="F13">
        <v>100</v>
      </c>
      <c r="G13">
        <v>4</v>
      </c>
      <c r="H13" t="s">
        <v>263</v>
      </c>
      <c r="I13" t="s">
        <v>264</v>
      </c>
      <c r="J13" s="31">
        <v>45295</v>
      </c>
      <c r="K13">
        <v>13.3</v>
      </c>
      <c r="L13">
        <v>23.2</v>
      </c>
      <c r="M13" t="s">
        <v>56</v>
      </c>
      <c r="N13">
        <v>9</v>
      </c>
      <c r="O13" t="s">
        <v>112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845BC-097C-4B30-8F83-214F989630CD}">
  <sheetPr codeName="Sheet9"/>
  <dimension ref="A1:U14"/>
  <sheetViews>
    <sheetView zoomScale="85" zoomScaleNormal="85" workbookViewId="0"/>
  </sheetViews>
  <sheetFormatPr defaultRowHeight="14.4" x14ac:dyDescent="0.3"/>
  <cols>
    <col min="1" max="21" width="18.6640625" customWidth="1"/>
    <col min="22" max="22" width="109.6640625" bestFit="1" customWidth="1"/>
  </cols>
  <sheetData>
    <row r="1" spans="1:21" x14ac:dyDescent="0.3">
      <c r="A1" t="s">
        <v>310</v>
      </c>
    </row>
    <row r="3" spans="1:21" x14ac:dyDescent="0.3">
      <c r="A3" t="s">
        <v>31</v>
      </c>
      <c r="B3" t="s">
        <v>30</v>
      </c>
      <c r="C3" t="s">
        <v>26</v>
      </c>
      <c r="D3" t="s">
        <v>29</v>
      </c>
      <c r="E3" t="s">
        <v>29</v>
      </c>
      <c r="F3" t="s">
        <v>103</v>
      </c>
      <c r="G3" t="s">
        <v>32</v>
      </c>
      <c r="H3" t="s">
        <v>32</v>
      </c>
      <c r="I3" t="s">
        <v>32</v>
      </c>
      <c r="J3" t="s">
        <v>28</v>
      </c>
      <c r="K3" t="s">
        <v>103</v>
      </c>
      <c r="L3" t="s">
        <v>103</v>
      </c>
      <c r="M3" t="s">
        <v>103</v>
      </c>
      <c r="N3" t="s">
        <v>33</v>
      </c>
      <c r="O3" t="s">
        <v>33</v>
      </c>
      <c r="P3" t="s">
        <v>33</v>
      </c>
      <c r="Q3" t="s">
        <v>103</v>
      </c>
      <c r="R3" t="s">
        <v>103</v>
      </c>
      <c r="S3" t="s">
        <v>103</v>
      </c>
      <c r="T3" t="s">
        <v>103</v>
      </c>
      <c r="U3" t="s">
        <v>103</v>
      </c>
    </row>
    <row r="4" spans="1:21" x14ac:dyDescent="0.3">
      <c r="A4" t="s">
        <v>3</v>
      </c>
      <c r="B4" t="s">
        <v>4</v>
      </c>
      <c r="C4" t="s">
        <v>6</v>
      </c>
      <c r="D4" t="s">
        <v>0</v>
      </c>
      <c r="E4" t="s">
        <v>55</v>
      </c>
      <c r="F4" t="s">
        <v>165</v>
      </c>
      <c r="G4" t="s">
        <v>22</v>
      </c>
      <c r="H4" t="s">
        <v>67</v>
      </c>
      <c r="I4" t="s">
        <v>71</v>
      </c>
      <c r="J4" t="s">
        <v>9</v>
      </c>
      <c r="K4" t="s">
        <v>202</v>
      </c>
      <c r="L4" t="s">
        <v>166</v>
      </c>
      <c r="M4" t="s">
        <v>167</v>
      </c>
      <c r="N4" t="s">
        <v>18</v>
      </c>
      <c r="O4" t="s">
        <v>70</v>
      </c>
      <c r="P4" t="s">
        <v>61</v>
      </c>
      <c r="Q4" t="s">
        <v>151</v>
      </c>
      <c r="R4" t="s">
        <v>152</v>
      </c>
      <c r="S4" t="s">
        <v>153</v>
      </c>
      <c r="T4" t="s">
        <v>154</v>
      </c>
      <c r="U4" t="s">
        <v>155</v>
      </c>
    </row>
    <row r="5" spans="1:21" x14ac:dyDescent="0.3">
      <c r="A5" t="s">
        <v>44</v>
      </c>
      <c r="B5" t="s">
        <v>45</v>
      </c>
      <c r="C5" t="s">
        <v>298</v>
      </c>
      <c r="D5" t="s">
        <v>302</v>
      </c>
      <c r="E5">
        <v>100</v>
      </c>
      <c r="F5">
        <v>100</v>
      </c>
      <c r="G5" t="s">
        <v>244</v>
      </c>
      <c r="H5" t="s">
        <v>259</v>
      </c>
      <c r="I5" s="31">
        <v>44565</v>
      </c>
      <c r="J5" t="s">
        <v>306</v>
      </c>
      <c r="K5">
        <v>100</v>
      </c>
      <c r="L5">
        <v>100</v>
      </c>
      <c r="M5">
        <v>1</v>
      </c>
      <c r="N5" t="s">
        <v>250</v>
      </c>
      <c r="O5" t="s">
        <v>60</v>
      </c>
      <c r="P5" s="31">
        <v>45295</v>
      </c>
      <c r="Q5">
        <v>100</v>
      </c>
      <c r="R5">
        <v>100</v>
      </c>
      <c r="S5" t="s">
        <v>56</v>
      </c>
      <c r="T5">
        <v>1</v>
      </c>
      <c r="U5" t="s">
        <v>105</v>
      </c>
    </row>
    <row r="6" spans="1:21" x14ac:dyDescent="0.3">
      <c r="A6" t="s">
        <v>44</v>
      </c>
      <c r="B6" t="s">
        <v>45</v>
      </c>
      <c r="C6" t="s">
        <v>298</v>
      </c>
      <c r="D6" t="s">
        <v>301</v>
      </c>
      <c r="E6">
        <v>100</v>
      </c>
      <c r="F6">
        <v>100</v>
      </c>
      <c r="G6" t="s">
        <v>223</v>
      </c>
      <c r="H6" t="s">
        <v>68</v>
      </c>
      <c r="I6" s="31">
        <v>44565</v>
      </c>
      <c r="J6" t="s">
        <v>257</v>
      </c>
      <c r="K6">
        <v>100</v>
      </c>
      <c r="L6">
        <v>100</v>
      </c>
      <c r="M6">
        <v>1</v>
      </c>
      <c r="N6" t="s">
        <v>250</v>
      </c>
      <c r="O6" t="s">
        <v>60</v>
      </c>
      <c r="P6" s="31">
        <v>45295</v>
      </c>
      <c r="Q6">
        <v>90</v>
      </c>
      <c r="R6">
        <v>90</v>
      </c>
      <c r="S6" t="s">
        <v>56</v>
      </c>
      <c r="T6">
        <v>2</v>
      </c>
      <c r="U6" t="s">
        <v>105</v>
      </c>
    </row>
    <row r="7" spans="1:21" x14ac:dyDescent="0.3">
      <c r="A7" t="s">
        <v>44</v>
      </c>
      <c r="B7" t="s">
        <v>221</v>
      </c>
      <c r="C7" t="s">
        <v>46</v>
      </c>
      <c r="D7" t="s">
        <v>237</v>
      </c>
      <c r="E7">
        <v>100</v>
      </c>
      <c r="F7">
        <v>100</v>
      </c>
      <c r="G7" t="s">
        <v>223</v>
      </c>
      <c r="H7" t="s">
        <v>68</v>
      </c>
      <c r="I7" s="31">
        <v>44565</v>
      </c>
      <c r="J7" t="s">
        <v>238</v>
      </c>
      <c r="K7">
        <v>100</v>
      </c>
      <c r="L7">
        <v>100</v>
      </c>
      <c r="M7">
        <v>1</v>
      </c>
      <c r="N7" t="s">
        <v>226</v>
      </c>
      <c r="O7" t="s">
        <v>227</v>
      </c>
      <c r="P7" s="31">
        <v>45295</v>
      </c>
      <c r="Q7">
        <v>40</v>
      </c>
      <c r="R7">
        <v>88.2</v>
      </c>
      <c r="S7" t="s">
        <v>56</v>
      </c>
      <c r="T7">
        <v>3</v>
      </c>
      <c r="U7" t="s">
        <v>105</v>
      </c>
    </row>
    <row r="8" spans="1:21" x14ac:dyDescent="0.3">
      <c r="A8" t="s">
        <v>44</v>
      </c>
      <c r="B8" t="s">
        <v>45</v>
      </c>
      <c r="C8" t="s">
        <v>298</v>
      </c>
      <c r="D8" t="s">
        <v>300</v>
      </c>
      <c r="E8">
        <v>100</v>
      </c>
      <c r="F8">
        <v>100</v>
      </c>
      <c r="G8" t="s">
        <v>223</v>
      </c>
      <c r="H8" t="s">
        <v>68</v>
      </c>
      <c r="I8" s="31">
        <v>44565</v>
      </c>
      <c r="J8" t="s">
        <v>224</v>
      </c>
      <c r="K8">
        <v>100</v>
      </c>
      <c r="L8">
        <v>100</v>
      </c>
      <c r="M8">
        <v>1</v>
      </c>
      <c r="N8" t="s">
        <v>250</v>
      </c>
      <c r="O8" t="s">
        <v>60</v>
      </c>
      <c r="P8" s="31">
        <v>45295</v>
      </c>
      <c r="Q8">
        <v>80</v>
      </c>
      <c r="R8">
        <v>80</v>
      </c>
      <c r="S8" t="s">
        <v>56</v>
      </c>
      <c r="T8">
        <v>4</v>
      </c>
      <c r="U8" t="s">
        <v>105</v>
      </c>
    </row>
    <row r="9" spans="1:21" x14ac:dyDescent="0.3">
      <c r="A9" t="s">
        <v>44</v>
      </c>
      <c r="B9" t="s">
        <v>45</v>
      </c>
      <c r="C9" t="s">
        <v>298</v>
      </c>
      <c r="D9" t="s">
        <v>299</v>
      </c>
      <c r="E9">
        <v>100</v>
      </c>
      <c r="F9">
        <v>100</v>
      </c>
      <c r="G9" t="s">
        <v>223</v>
      </c>
      <c r="H9" t="s">
        <v>68</v>
      </c>
      <c r="I9" s="31">
        <v>44565</v>
      </c>
      <c r="J9" t="s">
        <v>251</v>
      </c>
      <c r="K9">
        <v>100</v>
      </c>
      <c r="L9">
        <v>100</v>
      </c>
      <c r="M9">
        <v>1</v>
      </c>
      <c r="N9" t="s">
        <v>250</v>
      </c>
      <c r="O9" t="s">
        <v>60</v>
      </c>
      <c r="P9" s="31">
        <v>45295</v>
      </c>
      <c r="Q9">
        <v>70</v>
      </c>
      <c r="R9">
        <v>70</v>
      </c>
      <c r="S9" t="s">
        <v>56</v>
      </c>
      <c r="T9">
        <v>5</v>
      </c>
      <c r="U9" t="s">
        <v>105</v>
      </c>
    </row>
    <row r="10" spans="1:21" x14ac:dyDescent="0.3">
      <c r="A10" t="s">
        <v>44</v>
      </c>
      <c r="B10" t="s">
        <v>45</v>
      </c>
      <c r="C10" t="s">
        <v>298</v>
      </c>
      <c r="D10" t="s">
        <v>303</v>
      </c>
      <c r="E10">
        <v>100</v>
      </c>
      <c r="F10">
        <v>100</v>
      </c>
      <c r="G10" t="s">
        <v>223</v>
      </c>
      <c r="H10" t="s">
        <v>68</v>
      </c>
      <c r="I10" s="31">
        <v>44565</v>
      </c>
      <c r="J10" t="s">
        <v>248</v>
      </c>
      <c r="K10">
        <v>100</v>
      </c>
      <c r="L10">
        <v>100</v>
      </c>
      <c r="M10">
        <v>1</v>
      </c>
      <c r="N10" t="s">
        <v>250</v>
      </c>
      <c r="O10" t="s">
        <v>60</v>
      </c>
      <c r="P10" s="31">
        <v>45295</v>
      </c>
      <c r="Q10">
        <v>60</v>
      </c>
      <c r="R10">
        <v>60</v>
      </c>
      <c r="S10" t="s">
        <v>56</v>
      </c>
      <c r="T10">
        <v>6</v>
      </c>
      <c r="U10" t="s">
        <v>106</v>
      </c>
    </row>
    <row r="11" spans="1:21" x14ac:dyDescent="0.3">
      <c r="A11" t="s">
        <v>44</v>
      </c>
      <c r="B11" t="s">
        <v>221</v>
      </c>
      <c r="C11" t="s">
        <v>46</v>
      </c>
      <c r="D11" t="s">
        <v>243</v>
      </c>
      <c r="E11">
        <v>100</v>
      </c>
      <c r="F11">
        <v>100</v>
      </c>
      <c r="G11" t="s">
        <v>244</v>
      </c>
      <c r="H11" t="s">
        <v>245</v>
      </c>
      <c r="I11" s="31">
        <v>44565</v>
      </c>
      <c r="J11" t="s">
        <v>307</v>
      </c>
      <c r="K11">
        <v>100</v>
      </c>
      <c r="L11">
        <v>100</v>
      </c>
      <c r="M11">
        <v>1</v>
      </c>
      <c r="N11" t="s">
        <v>226</v>
      </c>
      <c r="O11" t="s">
        <v>227</v>
      </c>
      <c r="P11" s="31">
        <v>45295</v>
      </c>
      <c r="Q11">
        <v>50</v>
      </c>
      <c r="R11">
        <v>50</v>
      </c>
      <c r="S11" t="s">
        <v>56</v>
      </c>
      <c r="T11">
        <v>7</v>
      </c>
      <c r="U11" t="s">
        <v>107</v>
      </c>
    </row>
    <row r="12" spans="1:21" x14ac:dyDescent="0.3">
      <c r="A12" t="s">
        <v>44</v>
      </c>
      <c r="B12" t="s">
        <v>221</v>
      </c>
      <c r="C12" t="s">
        <v>46</v>
      </c>
      <c r="D12" t="s">
        <v>233</v>
      </c>
      <c r="E12">
        <v>100</v>
      </c>
      <c r="F12">
        <v>100</v>
      </c>
      <c r="G12" t="s">
        <v>223</v>
      </c>
      <c r="H12" t="s">
        <v>68</v>
      </c>
      <c r="I12" s="31">
        <v>44565</v>
      </c>
      <c r="J12" t="s">
        <v>234</v>
      </c>
      <c r="K12">
        <v>100</v>
      </c>
      <c r="L12">
        <v>100</v>
      </c>
      <c r="M12">
        <v>1</v>
      </c>
      <c r="N12" t="s">
        <v>226</v>
      </c>
      <c r="O12" t="s">
        <v>227</v>
      </c>
      <c r="P12" s="31">
        <v>45295</v>
      </c>
      <c r="Q12">
        <v>30</v>
      </c>
      <c r="R12">
        <v>49</v>
      </c>
      <c r="S12" t="s">
        <v>56</v>
      </c>
      <c r="T12">
        <v>8</v>
      </c>
      <c r="U12" t="s">
        <v>108</v>
      </c>
    </row>
    <row r="13" spans="1:21" x14ac:dyDescent="0.3">
      <c r="A13" t="s">
        <v>44</v>
      </c>
      <c r="B13" t="s">
        <v>221</v>
      </c>
      <c r="C13" t="s">
        <v>46</v>
      </c>
      <c r="D13" t="s">
        <v>222</v>
      </c>
      <c r="E13">
        <v>66</v>
      </c>
      <c r="F13">
        <v>66</v>
      </c>
      <c r="G13" t="s">
        <v>223</v>
      </c>
      <c r="H13" t="s">
        <v>68</v>
      </c>
      <c r="I13" s="31">
        <v>44565</v>
      </c>
      <c r="J13" t="s">
        <v>228</v>
      </c>
      <c r="K13">
        <v>100</v>
      </c>
      <c r="L13">
        <v>66</v>
      </c>
      <c r="M13">
        <v>2</v>
      </c>
      <c r="N13" t="s">
        <v>263</v>
      </c>
      <c r="O13" t="s">
        <v>264</v>
      </c>
      <c r="P13" s="31">
        <v>45295</v>
      </c>
      <c r="Q13">
        <v>15</v>
      </c>
      <c r="R13">
        <v>30</v>
      </c>
      <c r="S13" t="s">
        <v>56</v>
      </c>
      <c r="T13">
        <v>9</v>
      </c>
      <c r="U13" t="s">
        <v>111</v>
      </c>
    </row>
    <row r="14" spans="1:21" x14ac:dyDescent="0.3">
      <c r="A14" t="s">
        <v>44</v>
      </c>
      <c r="B14" t="s">
        <v>221</v>
      </c>
      <c r="C14" t="s">
        <v>46</v>
      </c>
      <c r="D14" t="s">
        <v>222</v>
      </c>
      <c r="E14">
        <v>34</v>
      </c>
      <c r="F14">
        <v>34</v>
      </c>
      <c r="G14" t="s">
        <v>223</v>
      </c>
      <c r="H14" t="s">
        <v>68</v>
      </c>
      <c r="I14" s="31">
        <v>44565</v>
      </c>
      <c r="J14" t="s">
        <v>308</v>
      </c>
      <c r="K14">
        <v>100</v>
      </c>
      <c r="L14">
        <v>34</v>
      </c>
      <c r="M14">
        <v>1</v>
      </c>
      <c r="N14" t="s">
        <v>263</v>
      </c>
      <c r="O14" t="s">
        <v>264</v>
      </c>
      <c r="P14" s="31">
        <v>45295</v>
      </c>
      <c r="Q14">
        <v>10</v>
      </c>
      <c r="R14">
        <v>10</v>
      </c>
      <c r="S14" t="s">
        <v>56</v>
      </c>
      <c r="T14">
        <v>10</v>
      </c>
      <c r="U14" t="s">
        <v>112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9BC2-2689-4078-BDB8-E6093B8AC8DA}">
  <sheetPr codeName="Sheet3"/>
  <dimension ref="A1:W27"/>
  <sheetViews>
    <sheetView zoomScale="85" zoomScaleNormal="85" workbookViewId="0"/>
  </sheetViews>
  <sheetFormatPr defaultRowHeight="14.4" x14ac:dyDescent="0.3"/>
  <cols>
    <col min="1" max="12" width="18.5546875" customWidth="1"/>
    <col min="13" max="13" width="23.109375" customWidth="1"/>
    <col min="14" max="26" width="18.5546875" customWidth="1"/>
    <col min="27" max="27" width="20.77734375" customWidth="1"/>
    <col min="28" max="29" width="10.5546875" bestFit="1" customWidth="1"/>
    <col min="30" max="30" width="36" bestFit="1" customWidth="1"/>
    <col min="31" max="31" width="3" bestFit="1" customWidth="1"/>
    <col min="32" max="32" width="3.77734375" bestFit="1" customWidth="1"/>
    <col min="33" max="33" width="15.44140625" bestFit="1" customWidth="1"/>
  </cols>
  <sheetData>
    <row r="1" spans="1:23" x14ac:dyDescent="0.3">
      <c r="A1" t="s">
        <v>310</v>
      </c>
    </row>
    <row r="3" spans="1:23" x14ac:dyDescent="0.3">
      <c r="A3" t="s">
        <v>31</v>
      </c>
      <c r="B3" t="s">
        <v>30</v>
      </c>
      <c r="C3" t="s">
        <v>26</v>
      </c>
      <c r="D3" t="s">
        <v>29</v>
      </c>
      <c r="E3" t="s">
        <v>29</v>
      </c>
      <c r="F3" t="s">
        <v>103</v>
      </c>
      <c r="G3" t="s">
        <v>32</v>
      </c>
      <c r="H3" t="s">
        <v>32</v>
      </c>
      <c r="I3" t="s">
        <v>32</v>
      </c>
      <c r="J3" t="s">
        <v>28</v>
      </c>
      <c r="K3" t="s">
        <v>28</v>
      </c>
      <c r="L3" t="s">
        <v>103</v>
      </c>
      <c r="M3" t="s">
        <v>27</v>
      </c>
      <c r="N3" t="s">
        <v>27</v>
      </c>
      <c r="O3" t="s">
        <v>33</v>
      </c>
      <c r="P3" t="s">
        <v>33</v>
      </c>
      <c r="Q3" t="s">
        <v>33</v>
      </c>
      <c r="R3" t="s">
        <v>33</v>
      </c>
      <c r="S3" t="s">
        <v>24</v>
      </c>
      <c r="T3" t="s">
        <v>24</v>
      </c>
      <c r="U3" t="s">
        <v>25</v>
      </c>
      <c r="V3" t="s">
        <v>103</v>
      </c>
      <c r="W3" t="s">
        <v>103</v>
      </c>
    </row>
    <row r="4" spans="1:23" x14ac:dyDescent="0.3">
      <c r="A4" t="s">
        <v>3</v>
      </c>
      <c r="B4" t="s">
        <v>4</v>
      </c>
      <c r="C4" t="s">
        <v>6</v>
      </c>
      <c r="D4" t="s">
        <v>0</v>
      </c>
      <c r="E4" t="s">
        <v>55</v>
      </c>
      <c r="F4" t="s">
        <v>165</v>
      </c>
      <c r="G4" t="s">
        <v>22</v>
      </c>
      <c r="H4" t="s">
        <v>67</v>
      </c>
      <c r="I4" t="s">
        <v>71</v>
      </c>
      <c r="J4" t="s">
        <v>9</v>
      </c>
      <c r="K4" t="s">
        <v>54</v>
      </c>
      <c r="L4" t="s">
        <v>166</v>
      </c>
      <c r="M4" t="s">
        <v>11</v>
      </c>
      <c r="N4" t="s">
        <v>66</v>
      </c>
      <c r="O4" t="s">
        <v>18</v>
      </c>
      <c r="P4" t="s">
        <v>70</v>
      </c>
      <c r="Q4" t="s">
        <v>61</v>
      </c>
      <c r="R4" t="s">
        <v>73</v>
      </c>
      <c r="S4" t="s">
        <v>148</v>
      </c>
      <c r="T4" t="s">
        <v>143</v>
      </c>
      <c r="U4" t="s">
        <v>144</v>
      </c>
      <c r="V4" t="s">
        <v>149</v>
      </c>
      <c r="W4" t="s">
        <v>150</v>
      </c>
    </row>
    <row r="5" spans="1:23" x14ac:dyDescent="0.3">
      <c r="A5" t="s">
        <v>44</v>
      </c>
      <c r="B5" t="s">
        <v>45</v>
      </c>
      <c r="C5" t="s">
        <v>298</v>
      </c>
      <c r="D5" t="s">
        <v>302</v>
      </c>
      <c r="E5">
        <v>100</v>
      </c>
      <c r="F5">
        <v>100</v>
      </c>
      <c r="G5" t="s">
        <v>244</v>
      </c>
      <c r="H5" t="s">
        <v>259</v>
      </c>
      <c r="I5" s="31">
        <v>44565</v>
      </c>
      <c r="J5" t="s">
        <v>306</v>
      </c>
      <c r="K5">
        <v>100</v>
      </c>
      <c r="L5">
        <v>100</v>
      </c>
      <c r="M5" t="s">
        <v>260</v>
      </c>
      <c r="N5" s="31">
        <v>45658</v>
      </c>
      <c r="O5" t="s">
        <v>250</v>
      </c>
      <c r="P5" t="s">
        <v>60</v>
      </c>
      <c r="Q5" s="31">
        <v>45295</v>
      </c>
      <c r="R5" t="s">
        <v>241</v>
      </c>
      <c r="S5">
        <v>100</v>
      </c>
      <c r="T5">
        <v>100</v>
      </c>
      <c r="U5" t="s">
        <v>56</v>
      </c>
      <c r="V5">
        <v>1</v>
      </c>
      <c r="W5" t="s">
        <v>105</v>
      </c>
    </row>
    <row r="6" spans="1:23" x14ac:dyDescent="0.3">
      <c r="A6" t="s">
        <v>44</v>
      </c>
      <c r="B6" t="s">
        <v>45</v>
      </c>
      <c r="C6" t="s">
        <v>298</v>
      </c>
      <c r="D6" t="s">
        <v>301</v>
      </c>
      <c r="E6">
        <v>100</v>
      </c>
      <c r="F6">
        <v>100</v>
      </c>
      <c r="G6" t="s">
        <v>223</v>
      </c>
      <c r="H6" t="s">
        <v>68</v>
      </c>
      <c r="I6" s="31">
        <v>44565</v>
      </c>
      <c r="J6" t="s">
        <v>257</v>
      </c>
      <c r="K6">
        <v>100</v>
      </c>
      <c r="L6">
        <v>100</v>
      </c>
      <c r="M6" t="s">
        <v>304</v>
      </c>
      <c r="N6" s="31">
        <v>45658</v>
      </c>
      <c r="O6" t="s">
        <v>250</v>
      </c>
      <c r="P6" t="s">
        <v>60</v>
      </c>
      <c r="Q6" s="31">
        <v>45295</v>
      </c>
      <c r="R6" t="s">
        <v>241</v>
      </c>
      <c r="S6">
        <v>90</v>
      </c>
      <c r="T6">
        <v>90</v>
      </c>
      <c r="U6" t="s">
        <v>56</v>
      </c>
      <c r="V6">
        <v>2</v>
      </c>
      <c r="W6" t="s">
        <v>105</v>
      </c>
    </row>
    <row r="7" spans="1:23" x14ac:dyDescent="0.3">
      <c r="A7" t="s">
        <v>44</v>
      </c>
      <c r="B7" t="s">
        <v>221</v>
      </c>
      <c r="C7" t="s">
        <v>46</v>
      </c>
      <c r="D7" t="s">
        <v>237</v>
      </c>
      <c r="E7">
        <v>100</v>
      </c>
      <c r="F7">
        <v>100</v>
      </c>
      <c r="G7" t="s">
        <v>223</v>
      </c>
      <c r="H7" t="s">
        <v>68</v>
      </c>
      <c r="I7" s="31">
        <v>44565</v>
      </c>
      <c r="J7" t="s">
        <v>238</v>
      </c>
      <c r="K7">
        <v>100</v>
      </c>
      <c r="L7">
        <v>100</v>
      </c>
      <c r="M7" t="s">
        <v>239</v>
      </c>
      <c r="N7" s="31">
        <v>45658</v>
      </c>
      <c r="O7" t="s">
        <v>226</v>
      </c>
      <c r="P7" t="s">
        <v>227</v>
      </c>
      <c r="Q7" s="31">
        <v>45295</v>
      </c>
      <c r="R7" t="s">
        <v>241</v>
      </c>
      <c r="S7">
        <v>40</v>
      </c>
      <c r="T7">
        <v>88.2</v>
      </c>
      <c r="U7" t="s">
        <v>56</v>
      </c>
      <c r="V7">
        <v>3</v>
      </c>
      <c r="W7" t="s">
        <v>105</v>
      </c>
    </row>
    <row r="8" spans="1:23" x14ac:dyDescent="0.3">
      <c r="A8" t="s">
        <v>44</v>
      </c>
      <c r="B8" t="s">
        <v>45</v>
      </c>
      <c r="C8" t="s">
        <v>298</v>
      </c>
      <c r="D8" t="s">
        <v>300</v>
      </c>
      <c r="E8">
        <v>100</v>
      </c>
      <c r="F8">
        <v>100</v>
      </c>
      <c r="G8" t="s">
        <v>223</v>
      </c>
      <c r="H8" t="s">
        <v>68</v>
      </c>
      <c r="I8" s="31">
        <v>44565</v>
      </c>
      <c r="J8" t="s">
        <v>224</v>
      </c>
      <c r="K8">
        <v>100</v>
      </c>
      <c r="L8">
        <v>100</v>
      </c>
      <c r="M8" t="s">
        <v>254</v>
      </c>
      <c r="N8" s="31">
        <v>45292</v>
      </c>
      <c r="O8" t="s">
        <v>250</v>
      </c>
      <c r="P8" t="s">
        <v>60</v>
      </c>
      <c r="Q8" s="31">
        <v>45295</v>
      </c>
      <c r="R8" t="s">
        <v>231</v>
      </c>
      <c r="S8">
        <v>80</v>
      </c>
      <c r="T8">
        <v>80</v>
      </c>
      <c r="U8" t="s">
        <v>56</v>
      </c>
      <c r="V8">
        <v>4</v>
      </c>
      <c r="W8" t="s">
        <v>105</v>
      </c>
    </row>
    <row r="9" spans="1:23" x14ac:dyDescent="0.3">
      <c r="A9" t="s">
        <v>44</v>
      </c>
      <c r="B9" t="s">
        <v>45</v>
      </c>
      <c r="C9" t="s">
        <v>298</v>
      </c>
      <c r="D9" t="s">
        <v>299</v>
      </c>
      <c r="E9">
        <v>100</v>
      </c>
      <c r="F9">
        <v>100</v>
      </c>
      <c r="G9" t="s">
        <v>223</v>
      </c>
      <c r="H9" t="s">
        <v>68</v>
      </c>
      <c r="I9" s="31">
        <v>44565</v>
      </c>
      <c r="J9" t="s">
        <v>251</v>
      </c>
      <c r="K9">
        <v>100</v>
      </c>
      <c r="L9">
        <v>100</v>
      </c>
      <c r="M9" t="s">
        <v>252</v>
      </c>
      <c r="N9" s="31">
        <v>45292</v>
      </c>
      <c r="O9" t="s">
        <v>250</v>
      </c>
      <c r="P9" t="s">
        <v>60</v>
      </c>
      <c r="Q9" s="31">
        <v>45295</v>
      </c>
      <c r="R9" t="s">
        <v>231</v>
      </c>
      <c r="S9">
        <v>70</v>
      </c>
      <c r="T9">
        <v>70</v>
      </c>
      <c r="U9" t="s">
        <v>56</v>
      </c>
      <c r="V9">
        <v>5</v>
      </c>
      <c r="W9" t="s">
        <v>105</v>
      </c>
    </row>
    <row r="10" spans="1:23" x14ac:dyDescent="0.3">
      <c r="A10" t="s">
        <v>44</v>
      </c>
      <c r="B10" t="s">
        <v>45</v>
      </c>
      <c r="C10" t="s">
        <v>298</v>
      </c>
      <c r="D10" t="s">
        <v>303</v>
      </c>
      <c r="E10">
        <v>100</v>
      </c>
      <c r="F10">
        <v>100</v>
      </c>
      <c r="G10" t="s">
        <v>223</v>
      </c>
      <c r="H10" t="s">
        <v>68</v>
      </c>
      <c r="I10" s="31">
        <v>44565</v>
      </c>
      <c r="J10" t="s">
        <v>248</v>
      </c>
      <c r="K10">
        <v>100</v>
      </c>
      <c r="L10">
        <v>100</v>
      </c>
      <c r="M10" t="s">
        <v>249</v>
      </c>
      <c r="N10" s="31">
        <v>44927</v>
      </c>
      <c r="O10" t="s">
        <v>250</v>
      </c>
      <c r="P10" t="s">
        <v>60</v>
      </c>
      <c r="Q10" s="31">
        <v>45295</v>
      </c>
      <c r="R10" t="s">
        <v>47</v>
      </c>
      <c r="S10">
        <v>60</v>
      </c>
      <c r="T10">
        <v>60</v>
      </c>
      <c r="U10" t="s">
        <v>56</v>
      </c>
      <c r="V10">
        <v>6</v>
      </c>
      <c r="W10" t="s">
        <v>106</v>
      </c>
    </row>
    <row r="11" spans="1:23" x14ac:dyDescent="0.3">
      <c r="A11" t="s">
        <v>44</v>
      </c>
      <c r="B11" t="s">
        <v>221</v>
      </c>
      <c r="C11" t="s">
        <v>46</v>
      </c>
      <c r="D11" t="s">
        <v>243</v>
      </c>
      <c r="E11">
        <v>100</v>
      </c>
      <c r="F11">
        <v>100</v>
      </c>
      <c r="G11" t="s">
        <v>244</v>
      </c>
      <c r="H11" t="s">
        <v>245</v>
      </c>
      <c r="I11" s="31">
        <v>44565</v>
      </c>
      <c r="J11" t="s">
        <v>307</v>
      </c>
      <c r="K11">
        <v>100</v>
      </c>
      <c r="L11">
        <v>100</v>
      </c>
      <c r="M11" t="s">
        <v>246</v>
      </c>
      <c r="N11" s="31">
        <v>45658</v>
      </c>
      <c r="O11" t="s">
        <v>226</v>
      </c>
      <c r="P11" t="s">
        <v>227</v>
      </c>
      <c r="Q11" s="31">
        <v>45295</v>
      </c>
      <c r="R11" t="s">
        <v>241</v>
      </c>
      <c r="S11">
        <v>50</v>
      </c>
      <c r="T11">
        <v>50</v>
      </c>
      <c r="U11" t="s">
        <v>56</v>
      </c>
      <c r="V11">
        <v>7</v>
      </c>
      <c r="W11" t="s">
        <v>107</v>
      </c>
    </row>
    <row r="12" spans="1:23" x14ac:dyDescent="0.3">
      <c r="A12" t="s">
        <v>44</v>
      </c>
      <c r="B12" t="s">
        <v>221</v>
      </c>
      <c r="C12" t="s">
        <v>46</v>
      </c>
      <c r="D12" t="s">
        <v>222</v>
      </c>
      <c r="E12">
        <v>33</v>
      </c>
      <c r="F12">
        <v>33</v>
      </c>
      <c r="G12" t="s">
        <v>223</v>
      </c>
      <c r="H12" t="s">
        <v>68</v>
      </c>
      <c r="I12" s="31">
        <v>44565</v>
      </c>
      <c r="J12" t="s">
        <v>228</v>
      </c>
      <c r="K12">
        <v>50</v>
      </c>
      <c r="L12">
        <v>16.5</v>
      </c>
      <c r="M12" t="s">
        <v>229</v>
      </c>
      <c r="N12" s="31">
        <v>45292</v>
      </c>
      <c r="O12" t="s">
        <v>263</v>
      </c>
      <c r="P12" t="s">
        <v>264</v>
      </c>
      <c r="Q12" s="31">
        <v>45295</v>
      </c>
      <c r="R12" t="s">
        <v>265</v>
      </c>
      <c r="S12">
        <v>20</v>
      </c>
      <c r="T12">
        <v>50</v>
      </c>
      <c r="U12" t="s">
        <v>56</v>
      </c>
      <c r="V12">
        <v>8</v>
      </c>
      <c r="W12" t="s">
        <v>107</v>
      </c>
    </row>
    <row r="13" spans="1:23" x14ac:dyDescent="0.3">
      <c r="A13" t="s">
        <v>44</v>
      </c>
      <c r="B13" t="s">
        <v>221</v>
      </c>
      <c r="C13" t="s">
        <v>46</v>
      </c>
      <c r="D13" t="s">
        <v>233</v>
      </c>
      <c r="E13">
        <v>100</v>
      </c>
      <c r="F13">
        <v>100</v>
      </c>
      <c r="G13" t="s">
        <v>223</v>
      </c>
      <c r="H13" t="s">
        <v>68</v>
      </c>
      <c r="I13" s="31">
        <v>44565</v>
      </c>
      <c r="J13" t="s">
        <v>234</v>
      </c>
      <c r="K13">
        <v>100</v>
      </c>
      <c r="L13">
        <v>100</v>
      </c>
      <c r="M13" t="s">
        <v>235</v>
      </c>
      <c r="N13" s="31">
        <v>45292</v>
      </c>
      <c r="O13" t="s">
        <v>226</v>
      </c>
      <c r="P13" t="s">
        <v>227</v>
      </c>
      <c r="Q13" s="31">
        <v>45295</v>
      </c>
      <c r="R13" t="s">
        <v>231</v>
      </c>
      <c r="S13">
        <v>30</v>
      </c>
      <c r="T13">
        <v>49</v>
      </c>
      <c r="U13" t="s">
        <v>56</v>
      </c>
      <c r="V13">
        <v>9</v>
      </c>
      <c r="W13" t="s">
        <v>108</v>
      </c>
    </row>
    <row r="14" spans="1:23" x14ac:dyDescent="0.3">
      <c r="A14" t="s">
        <v>44</v>
      </c>
      <c r="B14" t="s">
        <v>221</v>
      </c>
      <c r="C14" t="s">
        <v>46</v>
      </c>
      <c r="D14" t="s">
        <v>222</v>
      </c>
      <c r="E14">
        <v>33</v>
      </c>
      <c r="F14">
        <v>33</v>
      </c>
      <c r="G14" t="s">
        <v>223</v>
      </c>
      <c r="H14" t="s">
        <v>68</v>
      </c>
      <c r="I14" s="31">
        <v>44565</v>
      </c>
      <c r="J14" t="s">
        <v>228</v>
      </c>
      <c r="K14">
        <v>50</v>
      </c>
      <c r="L14">
        <v>16.5</v>
      </c>
      <c r="M14" t="s">
        <v>225</v>
      </c>
      <c r="N14" s="31">
        <v>44927</v>
      </c>
      <c r="O14" t="s">
        <v>263</v>
      </c>
      <c r="P14" t="s">
        <v>264</v>
      </c>
      <c r="Q14" s="31">
        <v>45295</v>
      </c>
      <c r="R14" t="s">
        <v>265</v>
      </c>
      <c r="S14">
        <v>10</v>
      </c>
      <c r="T14">
        <v>10</v>
      </c>
      <c r="U14" t="s">
        <v>56</v>
      </c>
      <c r="V14">
        <v>10</v>
      </c>
      <c r="W14" t="s">
        <v>112</v>
      </c>
    </row>
    <row r="15" spans="1:23" x14ac:dyDescent="0.3">
      <c r="A15" t="s">
        <v>44</v>
      </c>
      <c r="B15" t="s">
        <v>221</v>
      </c>
      <c r="C15" t="s">
        <v>46</v>
      </c>
      <c r="D15" t="s">
        <v>222</v>
      </c>
      <c r="E15">
        <v>34</v>
      </c>
      <c r="F15">
        <v>34</v>
      </c>
      <c r="G15" t="s">
        <v>223</v>
      </c>
      <c r="H15" t="s">
        <v>68</v>
      </c>
      <c r="I15" s="31">
        <v>44565</v>
      </c>
      <c r="J15" t="s">
        <v>308</v>
      </c>
      <c r="K15">
        <v>100</v>
      </c>
      <c r="L15">
        <v>34</v>
      </c>
      <c r="M15" t="s">
        <v>262</v>
      </c>
      <c r="N15" s="31">
        <v>44927</v>
      </c>
      <c r="O15" t="s">
        <v>263</v>
      </c>
      <c r="P15" t="s">
        <v>264</v>
      </c>
      <c r="Q15" s="31">
        <v>45295</v>
      </c>
      <c r="R15" t="s">
        <v>265</v>
      </c>
      <c r="S15">
        <v>10</v>
      </c>
      <c r="T15">
        <v>10</v>
      </c>
      <c r="U15" t="s">
        <v>56</v>
      </c>
      <c r="V15">
        <v>11</v>
      </c>
      <c r="W15" t="s">
        <v>112</v>
      </c>
    </row>
    <row r="27" ht="13.8" customHeight="1" x14ac:dyDescent="0.3"/>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Adherent_Attainments</vt:lpstr>
      <vt:lpstr>Riddick_Scale_Ranks_Config</vt:lpstr>
      <vt:lpstr>Scholar_Feedback</vt:lpstr>
      <vt:lpstr>Ranks_By_Degree</vt:lpstr>
      <vt:lpstr>Ranks_By_Segment_Or_Year</vt:lpstr>
      <vt:lpstr>Ranks_By_Module</vt:lpstr>
      <vt:lpstr>Ranks_By_Assessment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cp:lastPrinted>2023-03-08T01:48:37Z</cp:lastPrinted>
  <dcterms:created xsi:type="dcterms:W3CDTF">2015-06-05T18:17:20Z</dcterms:created>
  <dcterms:modified xsi:type="dcterms:W3CDTF">2023-03-27T21:23:10Z</dcterms:modified>
</cp:coreProperties>
</file>