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822" codeName="{28389E77-7640-9E18-AD5C-E98E2F4A8B83}"/>
  <workbookPr codeName="ThisWorkbook"/>
  <mc:AlternateContent xmlns:mc="http://schemas.openxmlformats.org/markup-compatibility/2006">
    <mc:Choice Requires="x15">
      <x15ac:absPath xmlns:x15ac="http://schemas.microsoft.com/office/spreadsheetml/2010/11/ac" url="C:\Users\micha\Dropbox\Projects_Personal\Enterprises\Obsidian Scarlett Daisy\Lines Of Business\MS_Obsidian_DBPFCHAO_Cryptography_Suite\06. HILDEGARD_Hash_Exchanger\Public_Hash_Exchanger\"/>
    </mc:Choice>
  </mc:AlternateContent>
  <xr:revisionPtr revIDLastSave="0" documentId="13_ncr:1_{ADB02BBB-C80B-4E68-AC24-B63BF729D2AB}" xr6:coauthVersionLast="47" xr6:coauthVersionMax="47" xr10:uidLastSave="{00000000-0000-0000-0000-000000000000}"/>
  <bookViews>
    <workbookView xWindow="-108" yWindow="-108" windowWidth="23256" windowHeight="12456" xr2:uid="{00000000-000D-0000-FFFF-FFFF00000000}"/>
  </bookViews>
  <sheets>
    <sheet name="Exfiltrated_Romulan_Tech" sheetId="1" r:id="rId1"/>
  </sheets>
  <definedNames>
    <definedName name="_xleta.IF"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15" i="1" l="1"/>
  <c r="B15" i="1"/>
  <c r="E18" i="1"/>
  <c r="B18" i="1"/>
  <c r="C19" i="1" l="1"/>
  <c r="B23" i="1" s="1"/>
  <c r="E23" i="1" s="1"/>
  <c r="B24" i="1" s="1"/>
  <c r="E24" i="1" s="1"/>
  <c r="E25" i="1" s="1"/>
  <c r="E26" i="1" s="1"/>
  <c r="B25" i="1" l="1"/>
  <c r="B26" i="1" s="1"/>
</calcChain>
</file>

<file path=xl/sharedStrings.xml><?xml version="1.0" encoding="utf-8"?>
<sst xmlns="http://schemas.openxmlformats.org/spreadsheetml/2006/main" count="262" uniqueCount="143">
  <si>
    <t>Item</t>
  </si>
  <si>
    <t>Hash_0001</t>
  </si>
  <si>
    <t>Hash_0002</t>
  </si>
  <si>
    <t>Value</t>
  </si>
  <si>
    <t>Step</t>
  </si>
  <si>
    <t>Counterparty_Member_Terra</t>
  </si>
  <si>
    <t>Counterparty_Member_Mars</t>
  </si>
  <si>
    <t>Publicly Knows Alpha Augmented PI</t>
  </si>
  <si>
    <t>Publicly Knows Beta Augmented PI</t>
  </si>
  <si>
    <t>Publicly Knows Gamma Augmented PI</t>
  </si>
  <si>
    <t>Publicly Knows Delta Augmented PI</t>
  </si>
  <si>
    <t>In every conversation, the Mars counterparty would be wise to remember to send puzzles that the Terra counterparty has not already used, in order to avoid possibly cyber vulnerable collisions!!!</t>
  </si>
  <si>
    <t>This algorithm is not necessarily constrained to enforced native assymetery... The situation could extremely rarely arise, where both counterparties use hashes, which lead to matching Puzzles and/or Enigmas!!!</t>
  </si>
  <si>
    <t>The major HILDEGARD Public Hash Exchange algorithm design requirement, was to  provide simultaneously quantum-secure and digital-secure, public exchange of hashes, that only the counterparties could easily know, and that other intermediaries or otherwise restricted stakeholders, would find it absolutely disastrously hard to hack and then to resolve the secret data from the conversation... Indeed, the only logically deducible approach, to hack this particular algorithm, would be brute force... If the counterparties use massive hashes, above say 100 characters/digits, then the brute force cost is simply insurmountable!!!</t>
  </si>
  <si>
    <t>E</t>
  </si>
  <si>
    <t>R</t>
  </si>
  <si>
    <t>Hash_0003</t>
  </si>
  <si>
    <t>Hash_0004</t>
  </si>
  <si>
    <t>Terra Input Parameters</t>
  </si>
  <si>
    <t>Mars Input Parameters</t>
  </si>
  <si>
    <t>MARS ENIGMA</t>
  </si>
  <si>
    <t>TERRA ENIGMA</t>
  </si>
  <si>
    <t>ITEM</t>
  </si>
  <si>
    <t>VALUE</t>
  </si>
  <si>
    <t>Please be aware, that the ultimate Enigma outputs of this algorithm, are themselves actually derived from dual hashes... Even so, they are homologous in nature to the allowed value spaces of the primitives...</t>
  </si>
  <si>
    <t>This algorithm baselines a quantum-secure conversation between two counterparty nodes, over a public internet network...</t>
  </si>
  <si>
    <t>Because we start with, and always mix in a paired hash, whenever we remove or add an obscured hash, we always maintain 100% cyber-secure exchange of critical secret hashes... There is simply no way to derive individual hash values as a result of any trickery or fancy mathematics... This is logically ensured...</t>
  </si>
  <si>
    <t>This algorithm does not even use a symmetric or asymmetric key methodology... The two counterparties simply know the other persons unique hash value, which they will use to encrypt their next message... So I call it Countersymmetric key exchange!!!</t>
  </si>
  <si>
    <t>Validate</t>
  </si>
  <si>
    <t>Terra Puzzle</t>
  </si>
  <si>
    <t>Mars Puzzle</t>
  </si>
  <si>
    <t>Alpha Augmented PI</t>
  </si>
  <si>
    <t>Gamma Augmented PI</t>
  </si>
  <si>
    <t>Beta Augmented PI</t>
  </si>
  <si>
    <t>Delta Augmented PI</t>
  </si>
  <si>
    <t>O</t>
  </si>
  <si>
    <t>S</t>
  </si>
  <si>
    <t>U</t>
  </si>
  <si>
    <t>I</t>
  </si>
  <si>
    <t>T</t>
  </si>
  <si>
    <t>N</t>
  </si>
  <si>
    <t>A</t>
  </si>
  <si>
    <t>G</t>
  </si>
  <si>
    <t>L</t>
  </si>
  <si>
    <t>M</t>
  </si>
  <si>
    <t>s</t>
  </si>
  <si>
    <t>P</t>
  </si>
  <si>
    <t>C</t>
  </si>
  <si>
    <t>F</t>
  </si>
  <si>
    <t>∞</t>
  </si>
  <si>
    <t>Don't know if I've already said this, but, this particular simplified version of the algorithm, should only be used with hashes of 9 characters/digits long, and so please make sure you include leading zeros where appropriate...</t>
  </si>
  <si>
    <t>As a side, you could reverse all the addition and subtraction, and the algorithm would still work at a fundamental level... You could even use multiplication and division operators instead (although this would clearly be less speed performant), or indeed any pair of isometrically inverse operators which mathematically cancel each other out, just like addition is isometrically inverse to subtraction... When we don't care about which pair of opposite transformations are used, we in Obsidian call it Cryptomorphism...</t>
  </si>
  <si>
    <t>You may be able to simplify the enigma function, but either way, I can't be bothered checking right now... For example, you nay be able to get away with just 2 or 3 main conditional IF() branches... Someone please do an experiemnt where a sparse sweep of every combination of hash values is searched, in order to discover how many conditional IF() branches could actually ever possibly be used... A granularity of 1% of range spacing, should do the trick...</t>
  </si>
  <si>
    <t>Further to the previous comment on cyber vulnerable collisions... You will probably want to make sure, that all four hashes on either side, are amongst themselves unique, for the same cybersecurity reasons... It is however assumed that it is alright for hashes to reappear in each counterparty's quad, otherwise there is no way of keeping them individually secret (that is, if you would have had to coordinate across the conversation counterparties, the selection of universally unique hashes)...</t>
  </si>
  <si>
    <t>...</t>
  </si>
  <si>
    <t>I have performed very basic testing, in order to make sure that all publicly known data within a rebaseline puiblic hash exchange, is mutually independent with regards to the secret hashes, and therefore incapable of compromising critical secret data... If it were possible to always allow non-counterparty entities to use one or more known public variables to derive critical secret KYBER8 hashes, as hash values vary, this would otherwise make it possible to derive enigmas... This consideration (multual independence of secret hash values and public variable values) is such an important aspect of the regime, that I would highly recommend that you perform your own indepth analysis here, in order to make sure that you are happy that indeed, it is never possible to derive enigma hashes, either together or individually, using the public data variable values, unless you are one of the counterparties, who has access to their own 4 of the 8 KYBER seed coordinate hashes!!!</t>
  </si>
  <si>
    <t>Bible Gloss: Be always happy... Live life to the full... Complete your joy...</t>
  </si>
  <si>
    <t>Just to reiterate, so that you understand properly, this HILDEGARD public hash exchange algorithm, does not produce asymmetric keys... The resulting hashes are not mathematically linked, or in any way dependent, both of which are necessary characterustics of asymmetric keys... Here instead, the hashes are simply freely-adjustable counterparts to a conversation baseline/connection. No derivation, and no mutual constraint!</t>
  </si>
  <si>
    <t>Interestingly, you don't actually need to use number hashes as the core medium of exchange. You could alternatively use any characterset of symbols, for example, ASCII Extended, directly. You would simply need to convert the character symbols onto a contiguous numerical index of integers, which correspond to each of the symbol characters in the set, both before and after they are exchanged though... For example A = 1, B = 2, C = 3, D = 4 etc_...</t>
  </si>
  <si>
    <t>Not sure, and possibly a non-issue if randomly selecting hashes, but it may prove cyber-sensible to make sure that your chosen hashes have a significant gap in between their values... If hackers know this is how you're choosing hashes however, it would infact undermine your cybersecurity stance... So probably best to just randomly select any different pairs of hashes...</t>
  </si>
  <si>
    <t>There is of course the option, to use a non-PIO algorithm (associated T-SQL algorithm uploaded alongside this workbook) random hash generator, of whatever type you so choose. For example, there is an alternative excel native random hash generator included in the associated FINA workbook, which I have also uploaded alongside this algorithm... Know this though, that I suspect these are quite weak and somewhat predictable in comparison to the PIO hash generator, and also, that the authorities that be, may have meddled with these so-called industry standard random number generators. As a result, the only hashing generator I recommend, is the PIO randomicity algorithm, set to generate concatenated frequency-balanced range-bound outputs (You will probably have to do the concatenation yourself from the outputs, but there is an order column, so this should be a trivial data transformation for 95% of coders... At least, I would hope!)...</t>
  </si>
  <si>
    <t>Most, if not all, addition and subtraction calculations, in this HILDEGARD Public Hash Exchange algorithm are intermedially and terminally  (Boundary-Preserved)... In otherwords, when the value at each calculation step, falls outside the intrinsic native hash range (which in the interactive example above here, is values 0 through 999999999), then the value is range shifted appropriately, in order to resituate it within the intrinsic native value-space range of the corresponding hashes... For simplified example, if a subtraction of 4 from 2, on an intrinsic range of 1 through 9, gives -2, then once boundary has been preserved again, this value would be resituated into the intrinsic native hash range, to a value of 7... Essentially, when intrinsic native range is 1 through 9, we treat subtraction output values of  -8 through 0 as 1 through 9, and we treat addition output values of 10 through 18 as 1 through 9...</t>
  </si>
  <si>
    <t>An industry standard string, conversation initiation calibration check, could also be used, in order to make sure that the first conversation baseline has completed successfully... You would need to make sure that you completely change all appropriate hash parameters, both in the associated PIO randomicity generation algorithm (Offest Hash Members), if it is being used, as well as making sure that the HILDEGARD PHE hashes also change immediately after solve check calibration... CORRECTION IS NOT A NECESSARY OVERALL STEP, AND IF HANDLED INCORRECTLY, WOULD IMPAIR THE CYBERSECURITY OF YOUR CONVERSATION'S HIDDEN PARAMETERS, DUE TO RISKS OF REVERSE ENGINEERING, ARISING FROM EVERYONE KNOWING THE INDUSTRY STANDARD STRING!!!... However, it is very useful to validate that the correct private countersymmetric hashes can indeed be initially exchanged...</t>
  </si>
  <si>
    <t>Please note, that the PIO Seed Coordinate system (from an associated T-SQL PIO algorithm that is uploaded alongside this HILDEGARD algorithm), is based on numbers from 1 through to the 100,000,000... Whereas this associated hash system (the outputs of the PIO randomicity generation algorithm, or similar hashing regimes), is based on all numbers from zero (0) through to nine (9), at each chracter/digit position of the designated hash string size/length... and so in our fleshed out simplified example above, this would lead to hash ranges of zero (0) through to 999,999,999, all with leading zeros where appropriate...</t>
  </si>
  <si>
    <t>Simplified Solve Check</t>
  </si>
  <si>
    <t>Use</t>
  </si>
  <si>
    <t>FINA Encryption</t>
  </si>
  <si>
    <t>&lt;&lt;--- HERE ---&gt;&gt;</t>
  </si>
  <si>
    <t>Instead Of</t>
  </si>
  <si>
    <t>Simple Offset</t>
  </si>
  <si>
    <t>In Production,</t>
  </si>
  <si>
    <t>Clearly the Solve Check Boolean functionality above is massively simplified, and so is only applicable during testing in this workbook, as an examplar. In a production situation, you would need to be using the full FINA encryption regime, rather than just a basic offset, in order to package, send across, and recover the the standardised payload message of 'Eternal Aether : '888888888', using your pair of enigma hashes, in order to allow the counterparties to effectively Solve Check their resolved conversation initiation calibration counterparty enigma pairs...</t>
  </si>
  <si>
    <t>Possibly one of the most important things to note in these comments, is that you will need to Public Hash Exchange, chunks of the Encoding Hash, and chunks of the Encryption hash (both indicated in the FINA Encryption regime from the associated workbook uploaded alongside this HILDEGARD PHE workbook), simultaneously, and then rebuild each of the two hashes from it's constituent chunks, before using the FINA encryption regime to actaully send your next message, as a Counterparty in a conversation... Each Counterparty will have to do this whole process, per full round of message stimulus and associated message response (assuming a one-to-one relationship between stimulus and response, although this of course will not always be the case), because both Counterparties will need to exchange their own pair of chunked and rebuilt hashes: The Terra and Mars Encdoing Hashes (which would both be chunked and exchanged using a separate set of Hashes 0001 through 0004, as above), and the Terra and Mars Encrypting Hashes (which would both be chunked and exchanged using a different separate set of Hashes 0001 through 0004, as above)... The example at the top of this worksheet, only deals with one chunk of one Encoding hash of each Counterparty. You will have to exapnd the regime to handle multiple chunks which cover all four FINA Encryption regime Encoding and Encrypting hashes, per message stimulus-response...</t>
  </si>
  <si>
    <t>Worked Example Public Hash Exchange Protocol</t>
  </si>
  <si>
    <t>As indicated on the worked example table to the right, the KYBER8 dance, is the most important aspect of the algorithm, in achieving success... KYBER8 stands for: King Yahweh Begat Eternal Redemption!!!!!!!!... The 8 stands for: using 8 hashes...</t>
  </si>
  <si>
    <t>Take note please, that Hashes 0001, 0002, and 0003 above can literally be completely randomly selected for each message stimulus-response chunk... We infact should use balanced class randomly generated Hash 0001. 0002, and 0003 values. Otherwise we introduce range proximity-based identity hints, which reverse engineers and hackers alike, can leverage... Here the triplet slice, random selection range, is always zero (0) through to nine hundred and ninety nine (999)... Conversely, the pair of values for Hash 0004, must be carefully crafted by their corresponding Counterparty, in order to represent the hash value of the chunk of the overall Encoding or Encrypting Hash that they are trying to exchange, when their Hash_0004 is subtracted from their Hash_0003 (With Wrap-Around Boundary Preservation)... and please also remember, that the overall Encoding and Encrypting hashes, are themselves subject to value constraints, as indicated in the FINA Encryption workbook...</t>
  </si>
  <si>
    <t>Converts Seed Coordinate 9 To Hash_0001 = 673829109</t>
  </si>
  <si>
    <t>Converts Seed Coordinate 8 To Hash_0002 = 227388614</t>
  </si>
  <si>
    <t>Converts Seed Coordinate 1 To Hash_0001 = 778473992</t>
  </si>
  <si>
    <t>Converts Seed Coordinate 2 To Hash_0002 = 399949994</t>
  </si>
  <si>
    <t>Compounds All Alpha Hashes Into Terra Puzzle = 446440495 (Boundary-Preserved)</t>
  </si>
  <si>
    <t>Compounds All Alpha Hashes Into Mars Puzzle = 378523998 (Boundary-Preserved)</t>
  </si>
  <si>
    <t>Sends Mars Puzzle 378523998 To Counterparty</t>
  </si>
  <si>
    <t>Sends Terra Puzzle 446440495 To Counterparty</t>
  </si>
  <si>
    <t>Exclusively Knows Terra Hash_0001</t>
  </si>
  <si>
    <t>Exclusively Knows Terra Hash_0002</t>
  </si>
  <si>
    <t>Exclusively Knows Mars Hash_0002</t>
  </si>
  <si>
    <t>Exclusively Knows Mars Hash_0001</t>
  </si>
  <si>
    <t>Publicly Knows Terra Puzzle</t>
  </si>
  <si>
    <t>Publicly Knows Mars Puzzle</t>
  </si>
  <si>
    <t>Compounds Both Puzzles = (446440495 - 378523998) (Boundary Preserved) = 67916497</t>
  </si>
  <si>
    <t>Publicly Knows Inception = 67916497 (The Compounded Puzzles)</t>
  </si>
  <si>
    <t>Sends Their Derivation Of Inception 67916497 To Counterparty</t>
  </si>
  <si>
    <t>Validates Inception For This Conversation Baseline: 67916497 = 67916497</t>
  </si>
  <si>
    <t>Converts Seed Coordinate 7 To Hash_0003 = 800044143</t>
  </si>
  <si>
    <t>Augments Inception, By Adding Hash_0003, and Adding Hash_0002 = 95349255</t>
  </si>
  <si>
    <t>Sends Alpha Augmented Inception 95349255 To Counterparty</t>
  </si>
  <si>
    <t>Converts Seed Coordinate 3 To Hash_0003 = 002002555</t>
  </si>
  <si>
    <t>Sends Beta Augmented Inception 497301804 To Counterparty</t>
  </si>
  <si>
    <t>Augments Inception, By Adding Hash_0003, and Adding Hash_0002 = 497301804</t>
  </si>
  <si>
    <t>Augments Inception, By Subtracting Hash_0004, and Subtracting Hash_0001 = 1220456793</t>
  </si>
  <si>
    <t>Sends Gamma Augmented Inception 1220456793 To Counterparty</t>
  </si>
  <si>
    <t>Augments Inception, By Subtracting Hash_0004, and Subtracting Hash_0001 = 440980500</t>
  </si>
  <si>
    <t>Sends Delta Augmented Inception 440980500 To Counterparty</t>
  </si>
  <si>
    <t>Privately Knows Terra Enigma = 197028243</t>
  </si>
  <si>
    <t>Privately Knows Mars Enigma = 001000254</t>
  </si>
  <si>
    <t>Privately Solves Mars Enigma = Delta Augmented Inception Decoherence Solution From Step 25 Above = 001000254</t>
  </si>
  <si>
    <t>Privately Solves Terra Enigma = Delta Augmented Inception Decoherence Solution From Step 25 Above = 197028243</t>
  </si>
  <si>
    <t>Converts Seed Coordinate 6 To Terra Enigma, and Carefully Crafts Hash_0004 = 603015900</t>
  </si>
  <si>
    <t>Converts Seed Coordinate 4 To Mars Enigma, and Carefully Crafts Hash_0004 = 001002301</t>
  </si>
  <si>
    <t>Enigma (A Hash Chunk)</t>
  </si>
  <si>
    <t>Overall Encoding</t>
  </si>
  <si>
    <t>Or Encrypting</t>
  </si>
  <si>
    <t>Current Hash Chunk</t>
  </si>
  <si>
    <t>BTW, there is a rather inconspicuous Romuliser MACRO included with this workbook... It can be used to statistically prove, that the public variables can't always be used in order to uncover private or exclusive variables...</t>
  </si>
  <si>
    <t>Decoherence Of Delta Augmented Public Inception Is Primed =
((((Delta Augmented Inception - Terra Hash_0003 + Terra Hash_0004) + 1) + bound_norm^(Inception Anchor Factor)^bound_norm) + scale_norm^(Puzzle Anchor Factor)^scale_norm) =
((((440980500 - 800044143 + 603015900) + 1) + bound_norm^(999999999 - 67916497)^bound_norm) + scale_norm^(446440495 + 378523998 - 1)^scale_norm) =  001000254 (Boundary-Preserved)</t>
  </si>
  <si>
    <t>Decoherence Of Delta Augmented Public Inception Is Primed =
((((Delta Augmented Inception - Mars Hash_0003 + Mars Hash_0004) + 1) + bound_norm^(Inception Anchor Factor)^bound_norm) + scale_norm^(Puzzle Anchor Factor)^scale_norm) =
((((440980500 - 002002555 + 001002301) + 1) + bound_norm^(999999999 - 67916497)^bound_norm) + scale_norm^(446440495 + 378523998 - 1)^scale_norm) = 197028243 (Boundary-Preserved)</t>
  </si>
  <si>
    <t>Encoding_Hash_0001</t>
  </si>
  <si>
    <t>Encrypting_Hash_0002</t>
  </si>
  <si>
    <t>Terra Output Parameters</t>
  </si>
  <si>
    <t>Mars Output Parameters</t>
  </si>
  <si>
    <t>Terra FINA Hash Primes</t>
  </si>
  <si>
    <t>Mars FINA Hash Primes</t>
  </si>
  <si>
    <t>Predicates For</t>
  </si>
  <si>
    <t>FINA Package</t>
  </si>
  <si>
    <t>&amp; Recover MACROs</t>
  </si>
  <si>
    <t>Reconfigured Mars FINA Hash Fines</t>
  </si>
  <si>
    <t>Reconfigured Terra FINA Hash Fines</t>
  </si>
  <si>
    <t>Do you wish to enable conversation baseline initiation calibration?</t>
  </si>
  <si>
    <t>Copy In the Hashes</t>
  </si>
  <si>
    <t>I just want to make sure that I clearly mention in the comments, that the native Excel random hash generation function in this workbook, may be suspect (hackable by nefariously manipulative and 'in-the-know' US authorities, who may have used strong persuasion during the actual development of the Microsoft Excel engine, with Microsoft employees, in order to lean towards specific random generation predicates, so that the government may be able to compromise crypto capability if necessary, in the future, if deemed advantageous to the state), and regardless, is based on somewhat weak computer science approaches, at best... Please endeavour to use the PIO Randomicity Generation algorithm where possible, in order to obtain military-grade random hashes...</t>
  </si>
  <si>
    <t>After all has been said, optimum internet data packet size, is deemed to max out at just over 1,000 bytes, for most usecases, and so maximum payload crypto_secret digit/character length/size, has been conveniently capped at the triplet 'plets' maximum of 999... This means, that both the FINA Encryption and HILDEGARD Public Hash Exchange algorithms, natively work within this hard limit... Like I've said, it is relatively trivial to extend this limit, but owing to the mechanics of internet communication capabilities, this is deemed at best wasteful, and may infact be problematic... Please therefore generate and impute Encoding and Encrypting hash primes, which do not exceed (333*3) = 999 digits/characters in length/size... It's up to you, if you want to increase this to (999*3) = 2,997 digits/characters in length/size, but it will take trivial adjustments to the sourcecode, and some minor testing of validation checks (all in all, probably not worth it, given that lengths/sizes would only triple)...</t>
  </si>
  <si>
    <t>By the way, this comment might be slightly repetitive, but you actually have two options, in order to operationalise this HILDEGARD PHE algorithm:
1. Split up larger hashes into chunks of 9 digits/characters, and send them through this simplified version of the algorithm, dealing with each separately, and then reconstitute the overall hash after all chunks have been correctness checked.
2. Re-engineer this simplified version of the algorithm, so that it can deal with variable length/count digit/character hash strings.
Let me know how it goes either way! ... Further, I've actually demonstrated how this can be done now, with the simulation button... It covers variable length hash prime chunking, using a homomorphic alignment regime!!!!!!!!!!!!!!!</t>
  </si>
  <si>
    <t>179135147074077197004193207180012105219201095244221014241092133195014150119076158165067071211209150250231058177249062136027254172004146025026203072012075097076241249102071041041164104105181083161053047148021116230066199096074234160159109025143176232212006138233109172128130118090103069014062249015099093124040121065160138040238166129099027199117191151212005053019027084033000136167138210021049172115091038179236135023192102117125053084024150043236025113069222191069171065023008082201076060122065087011123052220150192236084138020161104244029235158088038122056252033007088139234137103215210171183253086126105177045107138207137109129058157124173225094077074038135057148092222121048174190156199041205051243017016201096118030029044012182135142055119190191101229189022161181004110102070250204177106187070091110240031164088027047020110244138126247055096101072128035131245142231167112176016192178126039057083199013132192203083247204171230222106031242203177102004043042129103027070163216126048228095082196055</t>
  </si>
  <si>
    <t>120078124179162038092308286223327118034225255209147061178219036119009260200218154041332059294270056084157003093012044007169312062142019121281066328099268085256023138245229123105031247314214168101212100191265252298201065287242163325047266208083152301024018236204250095144248303269263029021175127249075130211291156264222145220244058293148282280039277326072310182004330165196217040320198033180008228151094164243053276202042110241114232106190135104273329189116290171181112051010197149235167304076176285318064289215079153319103237174001063046025302203081283297113188246172070234300027122143240177146193022141134050006067288049090140005159109299274272016210111295028129102199011324069238313333322233195030136139267311316137161227133082309185155158020306052166014125013261097262254048043207035259002060150271257054108216117074275107068251331091284258184077015086315126305205187071032089096278323296037057131132087073170183307055026045239226173317253279194206231115192230292213321098186128221160088224080017</t>
  </si>
  <si>
    <t>153152195182175193066140129144072106089247132148118008096035166039050095024156178112107085178054011225011117188192209053119220210104117089063205138137159022181066015070244083165092094083055054107157061174150153020011039063101148073212228134098001064041164249079061223033145154155176216025100209068172101212110212056186228055249245221133165116040163156217093013128014095115076246003165156135007182080249074093082090060151178068146147252237063206196104160125127034246045150173028165187198110021127146015105030037080252153070106119016116111240069044129087130101066017163093139224107151097015028037037193067035011176215131203250133017159084071173102098052222038102155139185031083002199234076057242048106092082249147134034228008201183062239119184101059153140117165195017040025013139243057088226122059216017034245212209253061168159247107014223041063154093134233139244194103192146113012010092106093160046110040247070015204180064201221250069118232234127225145107208185227039197169232212198197120187143042079</t>
  </si>
  <si>
    <t>127178301024210007295122256041132126005189161228213276243153074319081017282223259109184196023140217059002194230078198134012286306238003014239269166057033235302278325067318051116209039181288143289219019202098175145111085146323015044204293043174186124062009326193333262100016263199234115250095162299090307280322251168142179133298128105129312297225065270121304048212258220249036315107103149151197071310187045072156031247284241332047032328049291317013099266272083316087206026201330119185292070006104113285300079216224180331086001271152037165164008287231097055294205163094056118177240167080042308264170215004327075248088169190329110046106076237188027182176200139093246324054158313010040191155117101233038305021260268137281066025244261275236082157254060141171273172020069221091192028092068320229147029035255154242252130257131303232218112108265203183053136321089296064030135214267096195311148073309123159034314144279011150290207102173226050052253058208277283061022018222084125077063114138211245274227120160</t>
  </si>
  <si>
    <t>Just a quirk of excel worksheet cell data formatting, but you may need to format the hash primes cells, and hash fines cells, all to Text format before copying in your desired hash primes, and then executing the Simulation MACRO, in order to exchange and reconfiguring the counterparty fine hashes... Otherwise algorithm behaviour could be undocumented/unstable, and at the very least, the output reconfigured hash fines will not be in the right data format...</t>
  </si>
  <si>
    <t>On</t>
  </si>
  <si>
    <t>Simulation Puts</t>
  </si>
  <si>
    <t>Generated From PIO</t>
  </si>
  <si>
    <t>Or FINA Hash</t>
  </si>
  <si>
    <t>Algorithms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</si>
</sst>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00000"/>
  </numFmts>
  <fonts count="8" x14ac:knownFonts="1">
    <font>
      <sz val="11"/>
      <color theme="1"/>
      <name val="Calibri"/>
      <family val="2"/>
      <scheme val="minor"/>
    </font>
    <font>
      <sz val="11"/>
      <name val="Calibri"/>
      <family val="2"/>
      <scheme val="minor"/>
    </font>
    <font>
      <sz val="11"/>
      <name val="Aptos Narrow"/>
      <family val="2"/>
    </font>
    <font>
      <sz val="11"/>
      <color theme="0"/>
      <name val="Calibri"/>
      <family val="2"/>
      <scheme val="minor"/>
    </font>
    <font>
      <i/>
      <sz val="11"/>
      <color theme="1"/>
      <name val="Calibri"/>
      <family val="2"/>
      <scheme val="minor"/>
    </font>
    <font>
      <b/>
      <sz val="11"/>
      <color theme="0"/>
      <name val="Calibri"/>
      <family val="2"/>
      <scheme val="minor"/>
    </font>
    <font>
      <sz val="11"/>
      <color rgb="FFFF0000"/>
      <name val="Calibri"/>
      <family val="2"/>
      <scheme val="minor"/>
    </font>
    <font>
      <b/>
      <sz val="14"/>
      <color rgb="FF000000"/>
      <name val="Calibri"/>
      <family val="2"/>
    </font>
  </fonts>
  <fills count="16">
    <fill>
      <patternFill patternType="none"/>
    </fill>
    <fill>
      <patternFill patternType="gray125"/>
    </fill>
    <fill>
      <patternFill patternType="solid">
        <fgColor theme="4" tint="0.59999389629810485"/>
        <bgColor indexed="64"/>
      </patternFill>
    </fill>
    <fill>
      <patternFill patternType="solid">
        <fgColor theme="9" tint="0.39997558519241921"/>
        <bgColor indexed="64"/>
      </patternFill>
    </fill>
    <fill>
      <patternFill patternType="solid">
        <fgColor theme="7" tint="0.39997558519241921"/>
        <bgColor indexed="64"/>
      </patternFill>
    </fill>
    <fill>
      <patternFill patternType="solid">
        <fgColor rgb="FFFB81E7"/>
        <bgColor indexed="64"/>
      </patternFill>
    </fill>
    <fill>
      <patternFill patternType="solid">
        <fgColor theme="0" tint="-0.34998626667073579"/>
        <bgColor indexed="64"/>
      </patternFill>
    </fill>
    <fill>
      <patternFill patternType="solid">
        <fgColor theme="5" tint="0.39997558519241921"/>
        <bgColor indexed="64"/>
      </patternFill>
    </fill>
    <fill>
      <patternFill patternType="solid">
        <fgColor rgb="FFED777A"/>
        <bgColor indexed="64"/>
      </patternFill>
    </fill>
    <fill>
      <patternFill patternType="solid">
        <fgColor theme="8" tint="0.59999389629810485"/>
        <bgColor indexed="64"/>
      </patternFill>
    </fill>
    <fill>
      <patternFill patternType="solid">
        <fgColor rgb="FF33CCCC"/>
        <bgColor indexed="64"/>
      </patternFill>
    </fill>
    <fill>
      <patternFill patternType="solid">
        <fgColor rgb="FF7030A0"/>
        <bgColor indexed="64"/>
      </patternFill>
    </fill>
    <fill>
      <patternFill patternType="solid">
        <fgColor theme="8" tint="-0.249977111117893"/>
        <bgColor indexed="64"/>
      </patternFill>
    </fill>
    <fill>
      <patternFill patternType="solid">
        <fgColor theme="9" tint="-0.249977111117893"/>
        <bgColor indexed="64"/>
      </patternFill>
    </fill>
    <fill>
      <patternFill patternType="solid">
        <fgColor rgb="FF996633"/>
        <bgColor indexed="64"/>
      </patternFill>
    </fill>
    <fill>
      <patternFill patternType="solid">
        <fgColor theme="1"/>
        <bgColor indexed="64"/>
      </patternFill>
    </fill>
  </fills>
  <borders count="45">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medium">
        <color indexed="64"/>
      </right>
      <top style="thin">
        <color indexed="64"/>
      </top>
      <bottom/>
      <diagonal/>
    </border>
    <border>
      <left/>
      <right style="medium">
        <color indexed="64"/>
      </right>
      <top style="thin">
        <color indexed="64"/>
      </top>
      <bottom/>
      <diagonal/>
    </border>
    <border>
      <left style="medium">
        <color indexed="64"/>
      </left>
      <right/>
      <top/>
      <bottom style="thin">
        <color indexed="64"/>
      </bottom>
      <diagonal/>
    </border>
    <border>
      <left style="medium">
        <color indexed="64"/>
      </left>
      <right/>
      <top style="thin">
        <color indexed="64"/>
      </top>
      <bottom/>
      <diagonal/>
    </border>
    <border>
      <left style="medium">
        <color indexed="64"/>
      </left>
      <right/>
      <top style="medium">
        <color indexed="64"/>
      </top>
      <bottom style="medium">
        <color indexed="64"/>
      </bottom>
      <diagonal/>
    </border>
    <border>
      <left style="medium">
        <color indexed="64"/>
      </left>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right style="medium">
        <color indexed="64"/>
      </right>
      <top style="thin">
        <color indexed="64"/>
      </top>
      <bottom style="medium">
        <color indexed="64"/>
      </bottom>
      <diagonal/>
    </border>
    <border>
      <left style="medium">
        <color indexed="64"/>
      </left>
      <right style="thin">
        <color indexed="64"/>
      </right>
      <top style="thin">
        <color indexed="64"/>
      </top>
      <bottom/>
      <diagonal/>
    </border>
    <border>
      <left style="medium">
        <color indexed="64"/>
      </left>
      <right style="thin">
        <color indexed="64"/>
      </right>
      <top/>
      <bottom/>
      <diagonal/>
    </border>
    <border>
      <left style="medium">
        <color indexed="64"/>
      </left>
      <right style="thin">
        <color indexed="64"/>
      </right>
      <top/>
      <bottom style="thin">
        <color indexed="64"/>
      </bottom>
      <diagonal/>
    </border>
    <border>
      <left style="thin">
        <color indexed="64"/>
      </left>
      <right style="medium">
        <color indexed="64"/>
      </right>
      <top style="thin">
        <color indexed="64"/>
      </top>
      <bottom/>
      <diagonal/>
    </border>
    <border>
      <left style="thin">
        <color indexed="64"/>
      </left>
      <right style="medium">
        <color indexed="64"/>
      </right>
      <top/>
      <bottom/>
      <diagonal/>
    </border>
    <border>
      <left style="thin">
        <color indexed="64"/>
      </left>
      <right style="medium">
        <color indexed="64"/>
      </right>
      <top/>
      <bottom style="thin">
        <color indexed="64"/>
      </bottom>
      <diagonal/>
    </border>
    <border>
      <left style="medium">
        <color indexed="64"/>
      </left>
      <right style="thin">
        <color indexed="64"/>
      </right>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1">
    <xf numFmtId="0" fontId="0" fillId="0" borderId="0"/>
  </cellStyleXfs>
  <cellXfs count="106">
    <xf numFmtId="0" fontId="0" fillId="0" borderId="0" xfId="0"/>
    <xf numFmtId="0" fontId="0" fillId="0" borderId="0" xfId="0" applyAlignment="1">
      <alignment horizontal="left" vertical="top"/>
    </xf>
    <xf numFmtId="0" fontId="0" fillId="0" borderId="1" xfId="0" applyBorder="1" applyAlignment="1">
      <alignment horizontal="left" vertical="top" wrapText="1"/>
    </xf>
    <xf numFmtId="0" fontId="0" fillId="3" borderId="1" xfId="0" applyFill="1" applyBorder="1" applyAlignment="1">
      <alignment horizontal="left" vertical="top" wrapText="1"/>
    </xf>
    <xf numFmtId="0" fontId="0" fillId="4" borderId="1" xfId="0" applyFill="1" applyBorder="1" applyAlignment="1">
      <alignment horizontal="left" vertical="top" wrapText="1"/>
    </xf>
    <xf numFmtId="0" fontId="0" fillId="8" borderId="1" xfId="0" applyFill="1" applyBorder="1" applyAlignment="1">
      <alignment horizontal="left" vertical="top" wrapText="1"/>
    </xf>
    <xf numFmtId="0" fontId="1" fillId="7" borderId="1" xfId="0" applyFont="1" applyFill="1" applyBorder="1" applyAlignment="1">
      <alignment horizontal="left" vertical="top" wrapText="1"/>
    </xf>
    <xf numFmtId="0" fontId="0" fillId="5" borderId="1" xfId="0" applyFill="1" applyBorder="1" applyAlignment="1">
      <alignment horizontal="left" vertical="top" wrapText="1"/>
    </xf>
    <xf numFmtId="0" fontId="0" fillId="6" borderId="1" xfId="0" applyFill="1" applyBorder="1" applyAlignment="1">
      <alignment horizontal="left" vertical="top" wrapText="1"/>
    </xf>
    <xf numFmtId="0" fontId="1" fillId="6" borderId="1" xfId="0" applyFont="1" applyFill="1" applyBorder="1" applyAlignment="1">
      <alignment horizontal="left" vertical="top" wrapText="1"/>
    </xf>
    <xf numFmtId="0" fontId="0" fillId="7" borderId="1" xfId="0" applyFill="1" applyBorder="1" applyAlignment="1">
      <alignment horizontal="left" vertical="top" wrapText="1"/>
    </xf>
    <xf numFmtId="0" fontId="0" fillId="0" borderId="0" xfId="0" applyAlignment="1">
      <alignment vertical="center" wrapText="1"/>
    </xf>
    <xf numFmtId="0" fontId="0" fillId="0" borderId="0" xfId="0" applyAlignment="1">
      <alignment vertical="top" wrapText="1"/>
    </xf>
    <xf numFmtId="0" fontId="0" fillId="0" borderId="0" xfId="0" applyAlignment="1">
      <alignment vertical="center"/>
    </xf>
    <xf numFmtId="0" fontId="0" fillId="0" borderId="13" xfId="0" applyBorder="1" applyAlignment="1">
      <alignment horizontal="left" vertical="top" wrapText="1"/>
    </xf>
    <xf numFmtId="0" fontId="0" fillId="0" borderId="0" xfId="0" applyAlignment="1">
      <alignment vertical="top"/>
    </xf>
    <xf numFmtId="0" fontId="0" fillId="6" borderId="21" xfId="0" applyFill="1" applyBorder="1" applyAlignment="1">
      <alignment horizontal="left" vertical="top"/>
    </xf>
    <xf numFmtId="0" fontId="0" fillId="5" borderId="0" xfId="0" applyFill="1" applyAlignment="1">
      <alignment horizontal="center" vertical="center"/>
    </xf>
    <xf numFmtId="164" fontId="0" fillId="3" borderId="23" xfId="0" applyNumberFormat="1" applyFill="1" applyBorder="1" applyAlignment="1">
      <alignment horizontal="left" vertical="top"/>
    </xf>
    <xf numFmtId="164" fontId="0" fillId="3" borderId="17" xfId="0" applyNumberFormat="1" applyFill="1" applyBorder="1" applyAlignment="1">
      <alignment horizontal="left" vertical="top"/>
    </xf>
    <xf numFmtId="1" fontId="0" fillId="7" borderId="2" xfId="0" applyNumberFormat="1" applyFill="1" applyBorder="1" applyAlignment="1">
      <alignment horizontal="left" vertical="top"/>
    </xf>
    <xf numFmtId="1" fontId="0" fillId="5" borderId="0" xfId="0" applyNumberFormat="1" applyFill="1" applyAlignment="1">
      <alignment horizontal="center" vertical="center"/>
    </xf>
    <xf numFmtId="0" fontId="0" fillId="6" borderId="26" xfId="0" applyFill="1" applyBorder="1" applyAlignment="1">
      <alignment horizontal="left" vertical="top" wrapText="1"/>
    </xf>
    <xf numFmtId="0" fontId="0" fillId="3" borderId="26" xfId="0" applyFill="1" applyBorder="1" applyAlignment="1">
      <alignment horizontal="left" vertical="top" wrapText="1"/>
    </xf>
    <xf numFmtId="0" fontId="0" fillId="4" borderId="26" xfId="0" applyFill="1" applyBorder="1" applyAlignment="1">
      <alignment horizontal="left" vertical="top" wrapText="1"/>
    </xf>
    <xf numFmtId="16" fontId="0" fillId="6" borderId="26" xfId="0" applyNumberFormat="1" applyFill="1" applyBorder="1" applyAlignment="1">
      <alignment horizontal="left" vertical="top" wrapText="1"/>
    </xf>
    <xf numFmtId="0" fontId="0" fillId="8" borderId="26" xfId="0" applyFill="1" applyBorder="1" applyAlignment="1">
      <alignment horizontal="left" vertical="top" wrapText="1"/>
    </xf>
    <xf numFmtId="0" fontId="1" fillId="7" borderId="26" xfId="0" applyFont="1" applyFill="1" applyBorder="1" applyAlignment="1">
      <alignment horizontal="left" vertical="top" wrapText="1"/>
    </xf>
    <xf numFmtId="0" fontId="0" fillId="7" borderId="26" xfId="0" applyFill="1" applyBorder="1" applyAlignment="1">
      <alignment horizontal="left" vertical="top" wrapText="1"/>
    </xf>
    <xf numFmtId="0" fontId="0" fillId="0" borderId="27" xfId="0" applyBorder="1" applyAlignment="1">
      <alignment horizontal="left" vertical="top" wrapText="1"/>
    </xf>
    <xf numFmtId="0" fontId="1" fillId="10" borderId="14" xfId="0" applyFont="1" applyFill="1" applyBorder="1" applyAlignment="1">
      <alignment horizontal="center" vertical="center"/>
    </xf>
    <xf numFmtId="0" fontId="1" fillId="10" borderId="15" xfId="0" applyFont="1" applyFill="1" applyBorder="1" applyAlignment="1">
      <alignment horizontal="center" vertical="center"/>
    </xf>
    <xf numFmtId="0" fontId="1" fillId="10" borderId="16" xfId="0" applyFont="1" applyFill="1" applyBorder="1" applyAlignment="1">
      <alignment horizontal="center" vertical="center"/>
    </xf>
    <xf numFmtId="0" fontId="2" fillId="10" borderId="16" xfId="0" applyFont="1" applyFill="1" applyBorder="1" applyAlignment="1">
      <alignment horizontal="center" vertical="center"/>
    </xf>
    <xf numFmtId="0" fontId="0" fillId="0" borderId="27" xfId="0" applyBorder="1" applyAlignment="1">
      <alignment horizontal="left" vertical="top"/>
    </xf>
    <xf numFmtId="0" fontId="3" fillId="11" borderId="0" xfId="0" applyFont="1" applyFill="1" applyAlignment="1">
      <alignment horizontal="center" vertical="center"/>
    </xf>
    <xf numFmtId="0" fontId="3" fillId="13" borderId="1" xfId="0" applyFont="1" applyFill="1" applyBorder="1"/>
    <xf numFmtId="0" fontId="4" fillId="0" borderId="0" xfId="0" applyFont="1" applyAlignment="1">
      <alignment horizontal="center" vertical="center"/>
    </xf>
    <xf numFmtId="164" fontId="4" fillId="0" borderId="0" xfId="0" applyNumberFormat="1" applyFont="1" applyAlignment="1">
      <alignment horizontal="center" vertical="center"/>
    </xf>
    <xf numFmtId="164" fontId="3" fillId="14" borderId="4" xfId="0" applyNumberFormat="1" applyFont="1" applyFill="1" applyBorder="1" applyAlignment="1">
      <alignment horizontal="left" vertical="top"/>
    </xf>
    <xf numFmtId="0" fontId="3" fillId="14" borderId="1" xfId="0" applyFont="1" applyFill="1" applyBorder="1" applyAlignment="1">
      <alignment horizontal="left" vertical="top" wrapText="1"/>
    </xf>
    <xf numFmtId="0" fontId="3" fillId="14" borderId="26" xfId="0" applyFont="1" applyFill="1" applyBorder="1" applyAlignment="1">
      <alignment horizontal="left" vertical="top" wrapText="1"/>
    </xf>
    <xf numFmtId="164" fontId="5" fillId="14" borderId="4" xfId="0" applyNumberFormat="1" applyFont="1" applyFill="1" applyBorder="1" applyAlignment="1">
      <alignment horizontal="left" vertical="top"/>
    </xf>
    <xf numFmtId="0" fontId="0" fillId="6" borderId="22" xfId="0" applyFill="1" applyBorder="1" applyAlignment="1">
      <alignment horizontal="left" vertical="top"/>
    </xf>
    <xf numFmtId="0" fontId="0" fillId="6" borderId="14" xfId="0" applyFill="1" applyBorder="1" applyAlignment="1">
      <alignment horizontal="left" vertical="top"/>
    </xf>
    <xf numFmtId="0" fontId="0" fillId="6" borderId="24" xfId="0" applyFill="1" applyBorder="1" applyAlignment="1">
      <alignment horizontal="left" vertical="top"/>
    </xf>
    <xf numFmtId="0" fontId="0" fillId="6" borderId="20" xfId="0" applyFill="1" applyBorder="1" applyAlignment="1">
      <alignment horizontal="left" vertical="top"/>
    </xf>
    <xf numFmtId="1" fontId="1" fillId="4" borderId="23" xfId="0" applyNumberFormat="1" applyFont="1" applyFill="1" applyBorder="1" applyAlignment="1">
      <alignment horizontal="left" vertical="top"/>
    </xf>
    <xf numFmtId="1" fontId="1" fillId="4" borderId="17" xfId="0" applyNumberFormat="1" applyFont="1" applyFill="1" applyBorder="1" applyAlignment="1">
      <alignment horizontal="left" vertical="top"/>
    </xf>
    <xf numFmtId="164" fontId="1" fillId="9" borderId="2" xfId="0" applyNumberFormat="1" applyFont="1" applyFill="1" applyBorder="1" applyAlignment="1">
      <alignment horizontal="left" vertical="top"/>
    </xf>
    <xf numFmtId="0" fontId="0" fillId="6" borderId="23" xfId="0" applyFill="1" applyBorder="1" applyAlignment="1">
      <alignment horizontal="left" vertical="top"/>
    </xf>
    <xf numFmtId="0" fontId="0" fillId="6" borderId="17" xfId="0" applyFill="1" applyBorder="1" applyAlignment="1">
      <alignment horizontal="left" vertical="top"/>
    </xf>
    <xf numFmtId="0" fontId="0" fillId="6" borderId="2" xfId="0" applyFill="1" applyBorder="1" applyAlignment="1">
      <alignment horizontal="left" vertical="top"/>
    </xf>
    <xf numFmtId="0" fontId="0" fillId="6" borderId="7" xfId="0" applyFill="1" applyBorder="1" applyAlignment="1">
      <alignment horizontal="left" vertical="top"/>
    </xf>
    <xf numFmtId="1" fontId="1" fillId="4" borderId="25" xfId="0" applyNumberFormat="1" applyFont="1" applyFill="1" applyBorder="1" applyAlignment="1">
      <alignment horizontal="left" vertical="top"/>
    </xf>
    <xf numFmtId="1" fontId="1" fillId="4" borderId="18" xfId="0" applyNumberFormat="1" applyFont="1" applyFill="1" applyBorder="1" applyAlignment="1">
      <alignment horizontal="left" vertical="top"/>
    </xf>
    <xf numFmtId="164" fontId="1" fillId="9" borderId="3" xfId="0" applyNumberFormat="1" applyFont="1" applyFill="1" applyBorder="1" applyAlignment="1">
      <alignment horizontal="left" vertical="top"/>
    </xf>
    <xf numFmtId="0" fontId="0" fillId="0" borderId="23" xfId="0" applyBorder="1"/>
    <xf numFmtId="0" fontId="0" fillId="0" borderId="4" xfId="0" applyBorder="1"/>
    <xf numFmtId="0" fontId="0" fillId="6" borderId="23" xfId="0" applyFill="1" applyBorder="1"/>
    <xf numFmtId="0" fontId="0" fillId="6" borderId="4" xfId="0" applyFill="1" applyBorder="1"/>
    <xf numFmtId="0" fontId="0" fillId="6" borderId="19" xfId="0" applyFill="1" applyBorder="1" applyAlignment="1">
      <alignment horizontal="left" vertical="top"/>
    </xf>
    <xf numFmtId="49" fontId="6" fillId="15" borderId="25" xfId="0" applyNumberFormat="1" applyFont="1" applyFill="1" applyBorder="1"/>
    <xf numFmtId="49" fontId="6" fillId="15" borderId="28" xfId="0" applyNumberFormat="1" applyFont="1" applyFill="1" applyBorder="1"/>
    <xf numFmtId="0" fontId="0" fillId="0" borderId="5" xfId="0" applyBorder="1" applyAlignment="1">
      <alignment horizontal="center" vertical="center" wrapText="1"/>
    </xf>
    <xf numFmtId="0" fontId="0" fillId="0" borderId="6" xfId="0" applyBorder="1" applyAlignment="1">
      <alignment horizontal="center" vertical="center" wrapText="1"/>
    </xf>
    <xf numFmtId="0" fontId="0" fillId="0" borderId="7" xfId="0" applyBorder="1" applyAlignment="1">
      <alignment horizontal="center" vertical="center" wrapText="1"/>
    </xf>
    <xf numFmtId="0" fontId="0" fillId="0" borderId="8" xfId="0" applyBorder="1" applyAlignment="1">
      <alignment horizontal="center" vertical="center" wrapText="1"/>
    </xf>
    <xf numFmtId="0" fontId="0" fillId="0" borderId="0" xfId="0" applyAlignment="1">
      <alignment horizontal="center" vertical="center" wrapText="1"/>
    </xf>
    <xf numFmtId="0" fontId="0" fillId="0" borderId="9" xfId="0" applyBorder="1" applyAlignment="1">
      <alignment horizontal="center" vertical="center" wrapText="1"/>
    </xf>
    <xf numFmtId="0" fontId="0" fillId="0" borderId="10" xfId="0" applyBorder="1" applyAlignment="1">
      <alignment horizontal="center" vertical="center" wrapText="1"/>
    </xf>
    <xf numFmtId="0" fontId="0" fillId="0" borderId="11" xfId="0" applyBorder="1" applyAlignment="1">
      <alignment horizontal="center" vertical="center" wrapText="1"/>
    </xf>
    <xf numFmtId="0" fontId="0" fillId="0" borderId="12" xfId="0" applyBorder="1" applyAlignment="1">
      <alignment horizontal="center" vertical="center" wrapText="1"/>
    </xf>
    <xf numFmtId="0" fontId="0" fillId="0" borderId="29" xfId="0" applyBorder="1" applyAlignment="1">
      <alignment horizontal="left" vertical="top" wrapText="1"/>
    </xf>
    <xf numFmtId="0" fontId="0" fillId="0" borderId="35" xfId="0" applyBorder="1" applyAlignment="1">
      <alignment horizontal="left" vertical="top" wrapText="1"/>
    </xf>
    <xf numFmtId="0" fontId="0" fillId="0" borderId="31" xfId="0" applyBorder="1" applyAlignment="1">
      <alignment horizontal="left" vertical="top" wrapText="1"/>
    </xf>
    <xf numFmtId="0" fontId="0" fillId="10" borderId="14" xfId="0" applyFill="1" applyBorder="1" applyAlignment="1">
      <alignment horizontal="center" vertical="center" wrapText="1"/>
    </xf>
    <xf numFmtId="0" fontId="0" fillId="10" borderId="15" xfId="0" applyFill="1" applyBorder="1" applyAlignment="1">
      <alignment horizontal="center" vertical="center" wrapText="1"/>
    </xf>
    <xf numFmtId="0" fontId="0" fillId="10" borderId="16" xfId="0" applyFill="1" applyBorder="1" applyAlignment="1">
      <alignment horizontal="center" vertical="center" wrapText="1"/>
    </xf>
    <xf numFmtId="0" fontId="0" fillId="2" borderId="32" xfId="0" applyFill="1" applyBorder="1" applyAlignment="1">
      <alignment horizontal="center" vertical="center" wrapText="1"/>
    </xf>
    <xf numFmtId="0" fontId="0" fillId="2" borderId="34" xfId="0" applyFill="1" applyBorder="1" applyAlignment="1">
      <alignment horizontal="center" vertical="center" wrapText="1"/>
    </xf>
    <xf numFmtId="0" fontId="0" fillId="0" borderId="30" xfId="0" applyBorder="1" applyAlignment="1">
      <alignment horizontal="left" vertical="top" wrapText="1"/>
    </xf>
    <xf numFmtId="0" fontId="3" fillId="12" borderId="36" xfId="0" applyFont="1" applyFill="1" applyBorder="1" applyAlignment="1">
      <alignment horizontal="center" vertical="center" wrapText="1"/>
    </xf>
    <xf numFmtId="0" fontId="3" fillId="12" borderId="38" xfId="0" applyFont="1" applyFill="1" applyBorder="1" applyAlignment="1">
      <alignment horizontal="center" vertical="center" wrapText="1"/>
    </xf>
    <xf numFmtId="0" fontId="3" fillId="12" borderId="37" xfId="0" applyFont="1" applyFill="1" applyBorder="1" applyAlignment="1">
      <alignment horizontal="center" vertical="center" wrapText="1"/>
    </xf>
    <xf numFmtId="0" fontId="3" fillId="12" borderId="32" xfId="0" applyFont="1" applyFill="1" applyBorder="1" applyAlignment="1">
      <alignment horizontal="center" vertical="center" wrapText="1"/>
    </xf>
    <xf numFmtId="0" fontId="3" fillId="12" borderId="33" xfId="0" applyFont="1" applyFill="1" applyBorder="1" applyAlignment="1">
      <alignment horizontal="center" vertical="center" wrapText="1"/>
    </xf>
    <xf numFmtId="0" fontId="3" fillId="12" borderId="34" xfId="0" applyFont="1" applyFill="1" applyBorder="1" applyAlignment="1">
      <alignment horizontal="center" vertical="center" wrapText="1"/>
    </xf>
    <xf numFmtId="0" fontId="3" fillId="11" borderId="29" xfId="0" applyFont="1" applyFill="1" applyBorder="1" applyAlignment="1">
      <alignment horizontal="center" vertical="center" wrapText="1"/>
    </xf>
    <xf numFmtId="0" fontId="3" fillId="11" borderId="30" xfId="0" applyFont="1" applyFill="1" applyBorder="1" applyAlignment="1">
      <alignment horizontal="center" vertical="center" wrapText="1"/>
    </xf>
    <xf numFmtId="0" fontId="3" fillId="11" borderId="31" xfId="0" applyFont="1" applyFill="1" applyBorder="1" applyAlignment="1">
      <alignment horizontal="center" vertical="center" wrapText="1"/>
    </xf>
    <xf numFmtId="0" fontId="3" fillId="11" borderId="32" xfId="0" applyFont="1" applyFill="1" applyBorder="1" applyAlignment="1">
      <alignment horizontal="center" vertical="center" wrapText="1"/>
    </xf>
    <xf numFmtId="0" fontId="3" fillId="11" borderId="33" xfId="0" applyFont="1" applyFill="1" applyBorder="1" applyAlignment="1">
      <alignment horizontal="center" vertical="center" wrapText="1"/>
    </xf>
    <xf numFmtId="0" fontId="3" fillId="11" borderId="34" xfId="0" applyFont="1" applyFill="1" applyBorder="1" applyAlignment="1">
      <alignment horizontal="center" vertical="center" wrapText="1"/>
    </xf>
    <xf numFmtId="0" fontId="0" fillId="2" borderId="36" xfId="0" applyFill="1" applyBorder="1" applyAlignment="1">
      <alignment horizontal="center" vertical="center" wrapText="1"/>
    </xf>
    <xf numFmtId="0" fontId="0" fillId="2" borderId="37" xfId="0" applyFill="1" applyBorder="1" applyAlignment="1">
      <alignment horizontal="center" vertical="center" wrapText="1"/>
    </xf>
    <xf numFmtId="0" fontId="0" fillId="0" borderId="14" xfId="0" applyBorder="1" applyAlignment="1">
      <alignment horizontal="left" vertical="top" wrapText="1"/>
    </xf>
    <xf numFmtId="0" fontId="0" fillId="0" borderId="15" xfId="0" applyBorder="1" applyAlignment="1">
      <alignment horizontal="left" vertical="top" wrapText="1"/>
    </xf>
    <xf numFmtId="0" fontId="0" fillId="0" borderId="16" xfId="0" applyBorder="1" applyAlignment="1">
      <alignment horizontal="left" vertical="top" wrapText="1"/>
    </xf>
    <xf numFmtId="0" fontId="3" fillId="11" borderId="39" xfId="0" applyFont="1" applyFill="1" applyBorder="1" applyAlignment="1">
      <alignment horizontal="center" vertical="center" wrapText="1"/>
    </xf>
    <xf numFmtId="0" fontId="3" fillId="11" borderId="41" xfId="0" applyFont="1" applyFill="1" applyBorder="1" applyAlignment="1">
      <alignment horizontal="center" vertical="center" wrapText="1"/>
    </xf>
    <xf numFmtId="0" fontId="3" fillId="11" borderId="43" xfId="0" applyFont="1" applyFill="1" applyBorder="1" applyAlignment="1">
      <alignment horizontal="center" vertical="center" wrapText="1"/>
    </xf>
    <xf numFmtId="0" fontId="3" fillId="11" borderId="40" xfId="0" applyFont="1" applyFill="1" applyBorder="1" applyAlignment="1">
      <alignment horizontal="center" vertical="center" wrapText="1"/>
    </xf>
    <xf numFmtId="0" fontId="3" fillId="11" borderId="42" xfId="0" applyFont="1" applyFill="1" applyBorder="1" applyAlignment="1">
      <alignment horizontal="center" vertical="center" wrapText="1"/>
    </xf>
    <xf numFmtId="0" fontId="3" fillId="11" borderId="44" xfId="0" applyFont="1" applyFill="1" applyBorder="1" applyAlignment="1">
      <alignment horizontal="center" vertical="center" wrapText="1"/>
    </xf>
    <xf numFmtId="164" fontId="4" fillId="0" borderId="0" xfId="0" applyNumberFormat="1" applyFont="1" applyFill="1" applyBorder="1" applyAlignment="1">
      <alignment horizontal="center" vertical="center"/>
    </xf>
  </cellXfs>
  <cellStyles count="1">
    <cellStyle name="Normal" xfId="0" builtinId="0"/>
  </cellStyles>
  <dxfs count="2">
    <dxf>
      <font>
        <color theme="0"/>
      </font>
      <fill>
        <patternFill>
          <bgColor rgb="FF00B050"/>
        </patternFill>
      </fill>
    </dxf>
    <dxf>
      <font>
        <color theme="0"/>
      </font>
      <fill>
        <patternFill>
          <bgColor rgb="FFFF0000"/>
        </patternFill>
      </fill>
    </dxf>
  </dxfs>
  <tableStyles count="0" defaultTableStyle="TableStyleMedium2" defaultPivotStyle="PivotStyleLight16"/>
  <colors>
    <mruColors>
      <color rgb="FF996633"/>
      <color rgb="FF7EE600"/>
      <color rgb="FF46E200"/>
      <color rgb="FF00D255"/>
      <color rgb="FF00D25F"/>
      <color rgb="FF33CCCC"/>
      <color rgb="FFFB81E7"/>
      <color rgb="FF80FF0D"/>
      <color rgb="FFED777A"/>
      <color rgb="FFF941D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68580</xdr:colOff>
          <xdr:row>0</xdr:row>
          <xdr:rowOff>106680</xdr:rowOff>
        </xdr:from>
        <xdr:to>
          <xdr:col>4</xdr:col>
          <xdr:colOff>1623060</xdr:colOff>
          <xdr:row>4</xdr:row>
          <xdr:rowOff>99060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400" b="1" i="0" u="none" strike="noStrike" baseline="0">
                  <a:solidFill>
                    <a:srgbClr val="000000"/>
                  </a:solidFill>
                  <a:latin typeface="Calibri"/>
                  <a:ea typeface="Calibri"/>
                  <a:cs typeface="Calibri"/>
                </a:rPr>
                <a:t>CLICK THIS BUTTON</a:t>
              </a:r>
            </a:p>
            <a:p>
              <a:pPr algn="ctr" rtl="0">
                <a:defRPr sz="1000"/>
              </a:pPr>
              <a:r>
                <a:rPr lang="en-GB" sz="1400" b="1" i="0" u="none" strike="noStrike" baseline="0">
                  <a:solidFill>
                    <a:srgbClr val="000000"/>
                  </a:solidFill>
                  <a:latin typeface="Calibri"/>
                  <a:ea typeface="Calibri"/>
                  <a:cs typeface="Calibri"/>
                </a:rPr>
                <a:t>TO SIMULATE A</a:t>
              </a:r>
            </a:p>
            <a:p>
              <a:pPr algn="ctr" rtl="0">
                <a:defRPr sz="1000"/>
              </a:pPr>
              <a:r>
                <a:rPr lang="en-GB" sz="1400" b="1" i="0" u="none" strike="noStrike" baseline="0">
                  <a:solidFill>
                    <a:srgbClr val="000000"/>
                  </a:solidFill>
                  <a:latin typeface="Calibri"/>
                  <a:ea typeface="Calibri"/>
                  <a:cs typeface="Calibri"/>
                </a:rPr>
                <a:t>CONVERSATION BASELINE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M232"/>
  <sheetViews>
    <sheetView tabSelected="1" zoomScale="70" zoomScaleNormal="70" workbookViewId="0"/>
  </sheetViews>
  <sheetFormatPr defaultRowHeight="14.4" x14ac:dyDescent="0.3"/>
  <cols>
    <col min="1" max="1" width="22.77734375" customWidth="1"/>
    <col min="2" max="2" width="24.109375" customWidth="1"/>
    <col min="3" max="3" width="18.77734375" customWidth="1"/>
    <col min="4" max="4" width="22.88671875" customWidth="1"/>
    <col min="5" max="5" width="24.109375" bestFit="1" customWidth="1"/>
    <col min="6" max="8" width="2.77734375" customWidth="1"/>
    <col min="9" max="9" width="7" customWidth="1"/>
    <col min="10" max="11" width="81.33203125" customWidth="1"/>
    <col min="12" max="13" width="2.88671875" customWidth="1"/>
  </cols>
  <sheetData>
    <row r="1" spans="1:12" ht="15" thickBot="1" x14ac:dyDescent="0.35">
      <c r="G1" s="1"/>
      <c r="H1" s="1"/>
      <c r="I1" s="1" t="s">
        <v>73</v>
      </c>
      <c r="J1" s="1"/>
      <c r="K1" s="1"/>
    </row>
    <row r="2" spans="1:12" ht="15" thickBot="1" x14ac:dyDescent="0.35">
      <c r="A2" s="99" t="s">
        <v>128</v>
      </c>
      <c r="B2" s="102" t="s">
        <v>138</v>
      </c>
      <c r="G2" s="1"/>
      <c r="H2" s="1"/>
      <c r="I2" s="2" t="s">
        <v>4</v>
      </c>
      <c r="J2" s="2" t="s">
        <v>5</v>
      </c>
      <c r="K2" s="2" t="s">
        <v>6</v>
      </c>
    </row>
    <row r="3" spans="1:12" x14ac:dyDescent="0.3">
      <c r="A3" s="100"/>
      <c r="B3" s="103"/>
      <c r="G3" s="1"/>
      <c r="H3" s="30" t="s">
        <v>14</v>
      </c>
      <c r="I3" s="14">
        <v>1</v>
      </c>
      <c r="J3" s="3" t="s">
        <v>76</v>
      </c>
      <c r="K3" s="23" t="s">
        <v>78</v>
      </c>
      <c r="L3" s="30" t="s">
        <v>14</v>
      </c>
    </row>
    <row r="4" spans="1:12" ht="15" thickBot="1" x14ac:dyDescent="0.35">
      <c r="A4" s="101"/>
      <c r="B4" s="104"/>
      <c r="G4" s="1"/>
      <c r="H4" s="31" t="s">
        <v>40</v>
      </c>
      <c r="I4" s="14">
        <v>2</v>
      </c>
      <c r="J4" s="3" t="s">
        <v>77</v>
      </c>
      <c r="K4" s="23" t="s">
        <v>79</v>
      </c>
      <c r="L4" s="31" t="s">
        <v>40</v>
      </c>
    </row>
    <row r="5" spans="1:12" x14ac:dyDescent="0.3">
      <c r="G5" s="1"/>
      <c r="H5" s="31" t="s">
        <v>39</v>
      </c>
      <c r="I5" s="14">
        <v>3</v>
      </c>
      <c r="J5" s="3" t="s">
        <v>80</v>
      </c>
      <c r="K5" s="23" t="s">
        <v>81</v>
      </c>
      <c r="L5" s="31" t="s">
        <v>39</v>
      </c>
    </row>
    <row r="6" spans="1:12" ht="15" thickBot="1" x14ac:dyDescent="0.35">
      <c r="A6" t="s">
        <v>121</v>
      </c>
      <c r="C6" s="38" t="s">
        <v>129</v>
      </c>
      <c r="D6" t="s">
        <v>122</v>
      </c>
      <c r="G6" s="1"/>
      <c r="H6" s="31" t="s">
        <v>41</v>
      </c>
      <c r="I6" s="14">
        <v>4</v>
      </c>
      <c r="J6" s="4" t="s">
        <v>83</v>
      </c>
      <c r="K6" s="24" t="s">
        <v>82</v>
      </c>
      <c r="L6" s="31" t="s">
        <v>41</v>
      </c>
    </row>
    <row r="7" spans="1:12" x14ac:dyDescent="0.3">
      <c r="A7" s="57" t="s">
        <v>117</v>
      </c>
      <c r="B7" s="62" t="s">
        <v>133</v>
      </c>
      <c r="C7" s="38" t="s">
        <v>140</v>
      </c>
      <c r="D7" s="57" t="s">
        <v>117</v>
      </c>
      <c r="E7" s="62" t="s">
        <v>135</v>
      </c>
      <c r="G7" s="1"/>
      <c r="H7" s="31" t="s">
        <v>40</v>
      </c>
      <c r="I7" s="14">
        <v>5</v>
      </c>
      <c r="J7" s="5" t="s">
        <v>84</v>
      </c>
      <c r="K7" s="26" t="s">
        <v>87</v>
      </c>
      <c r="L7" s="31" t="s">
        <v>40</v>
      </c>
    </row>
    <row r="8" spans="1:12" ht="15" thickBot="1" x14ac:dyDescent="0.35">
      <c r="A8" s="58" t="s">
        <v>118</v>
      </c>
      <c r="B8" s="63" t="s">
        <v>134</v>
      </c>
      <c r="C8" s="38" t="s">
        <v>141</v>
      </c>
      <c r="D8" s="58" t="s">
        <v>118</v>
      </c>
      <c r="E8" s="63" t="s">
        <v>136</v>
      </c>
      <c r="G8" s="1"/>
      <c r="H8" s="31" t="s">
        <v>42</v>
      </c>
      <c r="I8" s="14">
        <v>6</v>
      </c>
      <c r="J8" s="5" t="s">
        <v>85</v>
      </c>
      <c r="K8" s="26" t="s">
        <v>86</v>
      </c>
      <c r="L8" s="31" t="s">
        <v>42</v>
      </c>
    </row>
    <row r="9" spans="1:12" x14ac:dyDescent="0.3">
      <c r="C9" s="105" t="s">
        <v>142</v>
      </c>
      <c r="G9" s="1"/>
      <c r="H9" s="31" t="s">
        <v>43</v>
      </c>
      <c r="I9" s="14">
        <v>7</v>
      </c>
      <c r="J9" s="6" t="s">
        <v>88</v>
      </c>
      <c r="K9" s="27" t="s">
        <v>88</v>
      </c>
      <c r="L9" s="31" t="s">
        <v>43</v>
      </c>
    </row>
    <row r="10" spans="1:12" ht="15" thickBot="1" x14ac:dyDescent="0.35">
      <c r="A10" t="s">
        <v>18</v>
      </c>
      <c r="D10" t="s">
        <v>19</v>
      </c>
      <c r="F10" s="1"/>
      <c r="G10" s="13"/>
      <c r="H10" s="31" t="s">
        <v>14</v>
      </c>
      <c r="I10" s="14">
        <v>8</v>
      </c>
      <c r="J10" s="6" t="s">
        <v>89</v>
      </c>
      <c r="K10" s="27" t="s">
        <v>89</v>
      </c>
      <c r="L10" s="31" t="s">
        <v>14</v>
      </c>
    </row>
    <row r="11" spans="1:12" ht="15" thickBot="1" x14ac:dyDescent="0.35">
      <c r="A11" s="52" t="s">
        <v>0</v>
      </c>
      <c r="B11" s="52" t="s">
        <v>3</v>
      </c>
      <c r="C11" s="1"/>
      <c r="D11" s="16" t="s">
        <v>0</v>
      </c>
      <c r="E11" s="52" t="s">
        <v>3</v>
      </c>
      <c r="F11" s="1"/>
      <c r="G11" s="11"/>
      <c r="H11" s="31" t="s">
        <v>44</v>
      </c>
      <c r="I11" s="14">
        <v>9</v>
      </c>
      <c r="J11" s="3" t="s">
        <v>90</v>
      </c>
      <c r="K11" s="3" t="s">
        <v>90</v>
      </c>
      <c r="L11" s="31" t="s">
        <v>44</v>
      </c>
    </row>
    <row r="12" spans="1:12" x14ac:dyDescent="0.3">
      <c r="A12" s="61" t="s">
        <v>1</v>
      </c>
      <c r="B12" s="18">
        <v>584239064</v>
      </c>
      <c r="C12" s="37" t="s">
        <v>139</v>
      </c>
      <c r="D12" s="61" t="s">
        <v>1</v>
      </c>
      <c r="E12" s="18">
        <v>474680542</v>
      </c>
      <c r="F12" s="1"/>
      <c r="G12" s="11"/>
      <c r="H12" s="31" t="s">
        <v>14</v>
      </c>
      <c r="I12" s="14">
        <v>10</v>
      </c>
      <c r="J12" s="6" t="s">
        <v>91</v>
      </c>
      <c r="K12" s="6" t="s">
        <v>91</v>
      </c>
      <c r="L12" s="31" t="s">
        <v>14</v>
      </c>
    </row>
    <row r="13" spans="1:12" ht="15" thickBot="1" x14ac:dyDescent="0.35">
      <c r="A13" s="46" t="s">
        <v>2</v>
      </c>
      <c r="B13" s="19">
        <v>370860099</v>
      </c>
      <c r="C13" s="37" t="s">
        <v>111</v>
      </c>
      <c r="D13" s="46" t="s">
        <v>2</v>
      </c>
      <c r="E13" s="19">
        <v>586803733</v>
      </c>
      <c r="F13" s="1"/>
      <c r="G13" s="11"/>
      <c r="H13" s="31" t="s">
        <v>40</v>
      </c>
      <c r="I13" s="14">
        <v>11</v>
      </c>
      <c r="J13" s="4" t="s">
        <v>92</v>
      </c>
      <c r="K13" s="4" t="s">
        <v>92</v>
      </c>
      <c r="L13" s="31" t="s">
        <v>40</v>
      </c>
    </row>
    <row r="14" spans="1:12" ht="15" thickBot="1" x14ac:dyDescent="0.35">
      <c r="A14" s="45" t="s">
        <v>16</v>
      </c>
      <c r="B14" s="18">
        <v>521678149</v>
      </c>
      <c r="C14" s="37" t="s">
        <v>112</v>
      </c>
      <c r="D14" s="45" t="s">
        <v>16</v>
      </c>
      <c r="E14" s="18">
        <v>774543045</v>
      </c>
      <c r="F14" s="1"/>
      <c r="G14" s="12"/>
      <c r="H14" s="32" t="s">
        <v>39</v>
      </c>
      <c r="I14" s="14">
        <v>12</v>
      </c>
      <c r="J14" s="7" t="s">
        <v>93</v>
      </c>
      <c r="K14" s="7" t="s">
        <v>93</v>
      </c>
      <c r="L14" s="32" t="s">
        <v>39</v>
      </c>
    </row>
    <row r="15" spans="1:12" ht="15" thickBot="1" x14ac:dyDescent="0.35">
      <c r="A15" s="43" t="s">
        <v>17</v>
      </c>
      <c r="B15" s="39">
        <f>IF((B14-B16)&lt;0,(999999999+(B14-B16)),(B14-B16))</f>
        <v>297598132</v>
      </c>
      <c r="C15" s="37" t="s">
        <v>113</v>
      </c>
      <c r="D15" s="43" t="s">
        <v>17</v>
      </c>
      <c r="E15" s="39">
        <f>IF((E14-E16)&lt;0,(999999999+(E14-E16)),(E14-E16))</f>
        <v>547422885</v>
      </c>
      <c r="F15" s="1"/>
      <c r="G15" s="11"/>
      <c r="H15" s="30" t="s">
        <v>45</v>
      </c>
      <c r="I15" s="14">
        <v>13</v>
      </c>
      <c r="J15" s="3" t="s">
        <v>94</v>
      </c>
      <c r="K15" s="22"/>
      <c r="L15" s="30" t="s">
        <v>45</v>
      </c>
    </row>
    <row r="16" spans="1:12" ht="15" thickBot="1" x14ac:dyDescent="0.35">
      <c r="A16" s="16" t="s">
        <v>110</v>
      </c>
      <c r="B16" s="42">
        <v>224080017</v>
      </c>
      <c r="C16" s="38" t="s">
        <v>67</v>
      </c>
      <c r="D16" s="16" t="s">
        <v>110</v>
      </c>
      <c r="E16" s="42">
        <v>227120160</v>
      </c>
      <c r="F16" s="1"/>
      <c r="G16" s="11"/>
      <c r="H16" s="31" t="s">
        <v>37</v>
      </c>
      <c r="I16" s="14">
        <v>14</v>
      </c>
      <c r="J16" s="3" t="s">
        <v>95</v>
      </c>
      <c r="K16" s="22"/>
      <c r="L16" s="31" t="s">
        <v>37</v>
      </c>
    </row>
    <row r="17" spans="1:13" ht="15" thickBot="1" x14ac:dyDescent="0.35">
      <c r="F17" s="1"/>
      <c r="G17" s="11"/>
      <c r="H17" s="31" t="s">
        <v>46</v>
      </c>
      <c r="I17" s="14">
        <v>15</v>
      </c>
      <c r="J17" s="4" t="s">
        <v>96</v>
      </c>
      <c r="K17" s="22"/>
      <c r="L17" s="31" t="s">
        <v>46</v>
      </c>
    </row>
    <row r="18" spans="1:13" ht="15" thickBot="1" x14ac:dyDescent="0.35">
      <c r="A18" s="16" t="s">
        <v>29</v>
      </c>
      <c r="B18" s="20">
        <f>IF((B12-B13)&lt;0,(999999999+(B12-B13)),(B12-B13))</f>
        <v>213378965</v>
      </c>
      <c r="C18" s="17" t="s">
        <v>28</v>
      </c>
      <c r="D18" s="16" t="s">
        <v>30</v>
      </c>
      <c r="E18" s="20">
        <f>IF((E12-E13)&lt;0,(999999999+(E12-E13)),(E12-E13))</f>
        <v>887876808</v>
      </c>
      <c r="F18" s="1"/>
      <c r="H18" s="31" t="s">
        <v>14</v>
      </c>
      <c r="I18" s="14">
        <v>16</v>
      </c>
      <c r="J18" s="8"/>
      <c r="K18" s="23" t="s">
        <v>97</v>
      </c>
      <c r="L18" s="31" t="s">
        <v>14</v>
      </c>
    </row>
    <row r="19" spans="1:13" x14ac:dyDescent="0.3">
      <c r="C19" s="21">
        <f>IF((B18-E18)&lt;0,(999999999+(B18-E18)),(B18-E18))</f>
        <v>325502156</v>
      </c>
      <c r="F19" s="13"/>
      <c r="G19" s="11"/>
      <c r="H19" s="31" t="s">
        <v>15</v>
      </c>
      <c r="I19" s="14">
        <v>17</v>
      </c>
      <c r="J19" s="8"/>
      <c r="K19" s="23" t="s">
        <v>99</v>
      </c>
      <c r="L19" s="31" t="s">
        <v>15</v>
      </c>
    </row>
    <row r="20" spans="1:13" ht="14.4" customHeight="1" x14ac:dyDescent="0.3">
      <c r="F20" s="11"/>
      <c r="G20" s="11"/>
      <c r="H20" s="31" t="s">
        <v>46</v>
      </c>
      <c r="I20" s="14">
        <v>18</v>
      </c>
      <c r="J20" s="8"/>
      <c r="K20" s="24" t="s">
        <v>98</v>
      </c>
      <c r="L20" s="31" t="s">
        <v>46</v>
      </c>
    </row>
    <row r="21" spans="1:13" ht="15" thickBot="1" x14ac:dyDescent="0.35">
      <c r="A21" s="1" t="s">
        <v>119</v>
      </c>
      <c r="B21" s="1"/>
      <c r="C21" s="37" t="s">
        <v>65</v>
      </c>
      <c r="D21" t="s">
        <v>120</v>
      </c>
      <c r="E21" s="1"/>
      <c r="F21" s="11"/>
      <c r="G21" s="11"/>
      <c r="H21" s="31" t="s">
        <v>35</v>
      </c>
      <c r="I21" s="14">
        <v>19</v>
      </c>
      <c r="J21" s="40" t="s">
        <v>108</v>
      </c>
      <c r="K21" s="22"/>
      <c r="L21" s="31" t="s">
        <v>35</v>
      </c>
    </row>
    <row r="22" spans="1:13" ht="15" thickBot="1" x14ac:dyDescent="0.35">
      <c r="A22" s="44" t="s">
        <v>22</v>
      </c>
      <c r="B22" s="44" t="s">
        <v>23</v>
      </c>
      <c r="C22" s="38" t="s">
        <v>66</v>
      </c>
      <c r="D22" s="44" t="s">
        <v>22</v>
      </c>
      <c r="E22" s="53" t="s">
        <v>23</v>
      </c>
      <c r="F22" s="11"/>
      <c r="H22" s="31" t="s">
        <v>36</v>
      </c>
      <c r="I22" s="14">
        <v>20</v>
      </c>
      <c r="J22" s="3" t="s">
        <v>100</v>
      </c>
      <c r="K22" s="25"/>
      <c r="L22" s="31" t="s">
        <v>36</v>
      </c>
    </row>
    <row r="23" spans="1:13" x14ac:dyDescent="0.3">
      <c r="A23" s="45" t="s">
        <v>31</v>
      </c>
      <c r="B23" s="47">
        <f>IF((C19+(B14+B13))&gt;(999999999*2),((C19+(B14+B13))-(999999999*2)),IF((C19+(B14+B13))&gt;999999999,((C19+(B14+B13))-999999999),(C19+(B14+B13))))</f>
        <v>218040405</v>
      </c>
      <c r="C23" s="38" t="s">
        <v>70</v>
      </c>
      <c r="D23" s="50" t="s">
        <v>33</v>
      </c>
      <c r="E23" s="54">
        <f>IF((B23+(E14+E13))&gt;(999999999*2),((B23+(E14+E13))-(999999999*2)),IF((B23+(E14+E13))&gt;999999999,((B23+(E14+E13))-999999999),(B23+(E14+E13))))</f>
        <v>579387184</v>
      </c>
      <c r="F23" s="12"/>
      <c r="G23" s="11"/>
      <c r="H23" s="31" t="s">
        <v>38</v>
      </c>
      <c r="I23" s="14">
        <v>21</v>
      </c>
      <c r="J23" s="4" t="s">
        <v>101</v>
      </c>
      <c r="K23" s="22"/>
      <c r="L23" s="31" t="s">
        <v>38</v>
      </c>
    </row>
    <row r="24" spans="1:13" ht="14.4" customHeight="1" thickBot="1" x14ac:dyDescent="0.35">
      <c r="A24" s="46" t="s">
        <v>32</v>
      </c>
      <c r="B24" s="48">
        <f>IF((E23-(B15+B12))&lt;0,IF((B15+B12)&gt;999999999,((999999999*2)+(E23-(B15+B12))),(999999999+(E23-(B15+B12)))),(E23-(B15+B12)))</f>
        <v>697549987</v>
      </c>
      <c r="C24" s="37" t="s">
        <v>68</v>
      </c>
      <c r="D24" s="51" t="s">
        <v>34</v>
      </c>
      <c r="E24" s="55">
        <f>IF((B24-(E15+E12))&lt;0,IF((E15+E12)&gt;999999999,((999999999*2)+(B24-(E15+E12))),(999999999+(B24-(E15+E12)))),(B24-(E15+E12)))</f>
        <v>1675446558</v>
      </c>
      <c r="F24" s="11"/>
      <c r="G24" s="11"/>
      <c r="H24" s="31" t="s">
        <v>39</v>
      </c>
      <c r="I24" s="14">
        <v>22</v>
      </c>
      <c r="J24" s="8"/>
      <c r="K24" s="41" t="s">
        <v>109</v>
      </c>
      <c r="L24" s="31" t="s">
        <v>39</v>
      </c>
    </row>
    <row r="25" spans="1:13" ht="15" customHeight="1" thickBot="1" x14ac:dyDescent="0.35">
      <c r="A25" s="16" t="s">
        <v>20</v>
      </c>
      <c r="B25" s="49">
        <f>IF((IF(((IF((E24-B14+B15)&lt;0,(999999999+(E24-B14+B15)),IF((E24-B14+B15)&gt;999999999,((E24-B14+B15)-999999999),(E24-B14+B15)))+1)+(999999999-C19))&lt;0,(999999999+((IF((E24-B14+B15)&lt;0,(999999999+(E24-B14+B15)),IF((E24-B14+B15)&gt;999999999,((E24-B14+B15)-999999999),(E24-B14+B15)))+1)+(999999999-C19))),IF(((IF((E24-B14+B15)&lt;0,(999999999+(E24-B14+B15)),IF((E24-B14+B15)&gt;999999999,((E24-B14+B15)-999999999),(E24-B14+B15)))+1)+(999999999-C19))&gt;999999999,(((IF((E24-B14+B15)&lt;0,(999999999+(E24-B14+B15)),IF((E24-B14+B15)&gt;999999999,((E24-B14+B15)-999999999),(E24-B14+B15)))+1)+(999999999-C19))-999999999),((IF((E24-B14+B15)&lt;0,(999999999+(E24-B14+B15)),IF((E24-B14+B15)&gt;999999999,((E24-B14+B15)-999999999),(E24-B14+B15)))+1)+(999999999-C19))))+(B18+E18-1))&gt;(999999999*3),
((IF(((IF((E24-B14+B15)&lt;0,(999999999+(E24-B14+B15)),IF((E24-B14+B15)&gt;999999999,((E24-B14+B15)-999999999),(E24-B14+B15)))+1)+(999999999-C19))&lt;0,(999999999+((IF((E24-B14+B15)&lt;0,(999999999+(E24-B14+B15)),IF((E24-B14+B15)&gt;999999999,((E24-B14+B15)-999999999),(E24-B14+B15)))+1)+(999999999-C19))),IF(((IF((E24-B14+B15)&lt;0,(999999999+(E24-B14+B15)),IF((E24-B14+B15)&gt;999999999,((E24-B14+B15)-999999999),(E24-B14+B15)))+1)+(999999999-C19))&gt;999999999,(((IF((E24-B14+B15)&lt;0,(999999999+(E24-B14+B15)),IF((E24-B14+B15)&gt;999999999,((E24-B14+B15)-999999999),(E24-B14+B15)))+1)+(999999999-C19))-999999999),((IF((E24-B14+B15)&lt;0,(999999999+(E24-B14+B15)),IF((E24-B14+B15)&gt;999999999,((E24-B14+B15)-999999999),(E24-B14+B15)))+1)+(999999999-C19))))+(B18+E18-1))-(999999999*3)),
IF((IF(((IF((E24-B14+B15)&lt;0,(999999999+(E24-B14+B15)),IF((E24-B14+B15)&gt;999999999,((E24-B14+B15)-999999999),(E24-B14+B15)))+1)+(999999999-C19))&lt;0,(999999999+((IF((E24-B14+B15)&lt;0,(999999999+(E24-B14+B15)),IF((E24-B14+B15)&gt;999999999,((E24-B14+B15)-999999999),(E24-B14+B15)))+1)+(999999999-C19))),IF(((IF((E24-B14+B15)&lt;0,(999999999+(E24-B14+B15)),IF((E24-B14+B15)&gt;999999999,((E24-B14+B15)-999999999),(E24-B14+B15)))+1)+(999999999-C19))&gt;999999999,(((IF((E24-B14+B15)&lt;0,(999999999+(E24-B14+B15)),IF((E24-B14+B15)&gt;999999999,((E24-B14+B15)-999999999),(E24-B14+B15)))+1)+(999999999-C19))-999999999),((IF((E24-B14+B15)&lt;0,(999999999+(E24-B14+B15)),IF((E24-B14+B15)&gt;999999999,((E24-B14+B15)-999999999),(E24-B14+B15)))+1)+(999999999-C19))))+(B18+E18-1))&gt;(999999999*2),
((IF(((IF((E24-B14+B15)&lt;0,(999999999+(E24-B14+B15)),IF((E24-B14+B15)&gt;999999999,((E24-B14+B15)-999999999),(E24-B14+B15)))+1)+(999999999-C19))&lt;0,(999999999+((IF((E24-B14+B15)&lt;0,(999999999+(E24-B14+B15)),IF((E24-B14+B15)&gt;999999999,((E24-B14+B15)-999999999),(E24-B14+B15)))+1)+(999999999-C19))),IF(((IF((E24-B14+B15)&lt;0,(999999999+(E24-B14+B15)),IF((E24-B14+B15)&gt;999999999,((E24-B14+B15)-999999999),(E24-B14+B15)))+1)+(999999999-C19))&gt;999999999,(((IF((E24-B14+B15)&lt;0,(999999999+(E24-B14+B15)),IF((E24-B14+B15)&gt;999999999,((E24-B14+B15)-999999999),(E24-B14+B15)))+1)+(999999999-C19))-999999999),((IF((E24-B14+B15)&lt;0,(999999999+(E24-B14+B15)),IF((E24-B14+B15)&gt;999999999,((E24-B14+B15)-999999999),(E24-B14+B15)))+1)+(999999999-C19))))+(B18+E18-1))-(999999999*2)),
IF((IF(((IF((E24-B14+B15)&lt;0,(999999999+(E24-B14+B15)),IF((E24-B14+B15)&gt;999999999,((E24-B14+B15)-999999999),(E24-B14+B15)))+1)+(999999999-C19))&lt;0,(999999999+((IF((E24-B14+B15)&lt;0,(999999999+(E24-B14+B15)),IF((E24-B14+B15)&gt;999999999,((E24-B14+B15)-999999999),(E24-B14+B15)))+1)+(999999999-C19))),IF(((IF((E24-B14+B15)&lt;0,(999999999+(E24-B14+B15)),IF((E24-B14+B15)&gt;999999999,((E24-B14+B15)-999999999),(E24-B14+B15)))+1)+(999999999-C19))&gt;999999999,(((IF((E24-B14+B15)&lt;0,(999999999+(E24-B14+B15)),IF((E24-B14+B15)&gt;999999999,((E24-B14+B15)-999999999),(E24-B14+B15)))+1)+(999999999-C19))-999999999),((IF((E24-B14+B15)&lt;0,(999999999+(E24-B14+B15)),IF((E24-B14+B15)&gt;999999999,((E24-B14+B15)-999999999),(E24-B14+B15)))+1)+(999999999-C19))))+(B18+E18-1))&gt;(999999999*1),
((IF(((IF((E24-B14+B15)&lt;0,(999999999+(E24-B14+B15)),IF((E24-B14+B15)&gt;999999999,((E24-B14+B15)-999999999),(E24-B14+B15)))+1)+(999999999-C19))&lt;0,(999999999+((IF((E24-B14+B15)&lt;0,(999999999+(E24-B14+B15)),IF((E24-B14+B15)&gt;999999999,((E24-B14+B15)-999999999),(E24-B14+B15)))+1)+(999999999-C19))),IF(((IF((E24-B14+B15)&lt;0,(999999999+(E24-B14+B15)),IF((E24-B14+B15)&gt;999999999,((E24-B14+B15)-999999999),(E24-B14+B15)))+1)+(999999999-C19))&gt;999999999,(((IF((E24-B14+B15)&lt;0,(999999999+(E24-B14+B15)),IF((E24-B14+B15)&gt;999999999,((E24-B14+B15)-999999999),(E24-B14+B15)))+1)+(999999999-C19))-999999999),((IF((E24-B14+B15)&lt;0,(999999999+(E24-B14+B15)),IF((E24-B14+B15)&gt;999999999,((E24-B14+B15)-999999999),(E24-B14+B15)))+1)+(999999999-C19))))+(B18+E18-1))-(999999999*1)),
(IF(((IF((E24-B14+B15)&lt;0,(999999999+(E24-B14+B15)),IF((E24-B14+B15)&gt;999999999,((E24-B14+B15)-999999999),(E24-B14+B15)))+1)+(999999999-C19))&lt;0,(999999999+((IF((E24-B14+B15)&lt;0,(999999999+(E24-B14+B15)),IF((E24-B14+B15)&gt;999999999,((E24-B14+B15)-999999999),(E24-B14+B15)))+1)+(999999999-C19))),IF(((IF((E24-B14+B15)&lt;0,(999999999+(E24-B14+B15)),IF((E24-B14+B15)&gt;999999999,((E24-B14+B15)-999999999),(E24-B14+B15)))+1)+(999999999-C19))&gt;999999999,(((IF((E24-B14+B15)&lt;0,(999999999+(E24-B14+B15)),IF((E24-B14+B15)&gt;999999999,((E24-B14+B15)-999999999),(E24-B14+B15)))+1)+(999999999-C19))-999999999),((IF((E24-B14+B15)&lt;0,(999999999+(E24-B14+B15)),IF((E24-B14+B15)&gt;999999999,((E24-B14+B15)-999999999),(E24-B14+B15)))+1)+(999999999-C19))))
+(B18+E18-1))
)))</f>
        <v>227120160</v>
      </c>
      <c r="C25" s="37" t="s">
        <v>69</v>
      </c>
      <c r="D25" s="52" t="s">
        <v>21</v>
      </c>
      <c r="E25" s="56">
        <f>IF((IF(((IF((E24-E14+E15)&lt;0,(999999999+(E24-E14+E15)),IF((E24-E14+E15)&gt;999999999,((E24-E14+E15)-999999999),(E24-E14+E15)))+1)+(999999999-C19))&lt;0,(999999999+((IF((E24-E14+E15)&lt;0,(999999999+(E24-E14+E15)),IF((E24-E14+E15)&gt;999999999,((E24-E14+E15)-999999999),(E24-E14+E15)))+1)+(999999999-C19))),IF(((IF((E24-E14+E15)&lt;0,(999999999+(E24-E14+E15)),IF((E24-E14+E15)&gt;999999999,((E24-E14+E15)-999999999),(E24-E14+E15)))+1)+(999999999-C19))&gt;999999999,(((IF((E24-E14+E15)&lt;0,(999999999+(E24-E14+E15)),IF((E24-E14+E15)&gt;999999999,((E24-E14+E15)-999999999),(E24-E14+E15)))+1)+(999999999-C19))-999999999),((IF((E24-E14+E15)&lt;0,(999999999+(E24-E14+E15)),IF((E24-E14+E15)&gt;999999999,((E24-E14+E15)-999999999),(E24-E14+E15)))+1)+(999999999-C19))))+(B18+E18-1))&gt;(999999999*3),
((IF(((IF((E24-E14+E15)&lt;0,(999999999+(E24-E14+E15)),IF((E24-E14+E15)&gt;999999999,((E24-E14+E15)-999999999),(E24-E14+E15)))+1)+(999999999-C19))&lt;0,(999999999+((IF((E24-E14+E15)&lt;0,(999999999+(E24-E14+E15)),IF((E24-E14+E15)&gt;999999999,((E24-E14+E15)-999999999),(E24-E14+E15)))+1)+(999999999-C19))),IF(((IF((E24-E14+E15)&lt;0,(999999999+(E24-E14+E15)),IF((E24-E14+E15)&gt;999999999,((E24-E14+E15)-999999999),(E24-E14+E15)))+1)+(999999999-C19))&gt;999999999,(((IF((E24-E14+E15)&lt;0,(999999999+(E24-E14+E15)),IF((E24-E14+E15)&gt;999999999,((E24-E14+E15)-999999999),(E24-E14+E15)))+1)+(999999999-C19))-999999999),((IF((E24-E14+E15)&lt;0,(999999999+(E24-E14+E15)),IF((E24-E14+E15)&gt;999999999,((E24-E14+E15)-999999999),(E24-E14+E15)))+1)+(999999999-C19))))+(B18+E18-1))-(999999999*3)),
IF((IF(((IF((E24-E14+E15)&lt;0,(999999999+(E24-E14+E15)),IF((E24-E14+E15)&gt;999999999,((E24-E14+E15)-999999999),(E24-E14+E15)))+1)+(999999999-C19))&lt;0,(999999999+((IF((E24-E14+E15)&lt;0,(999999999+(E24-E14+E15)),IF((E24-E14+E15)&gt;999999999,((E24-E14+E15)-999999999),(E24-E14+E15)))+1)+(999999999-C19))),IF(((IF((E24-E14+E15)&lt;0,(999999999+(E24-E14+E15)),IF((E24-E14+E15)&gt;999999999,((E24-E14+E15)-999999999),(E24-E14+E15)))+1)+(999999999-C19))&gt;999999999,(((IF((E24-E14+E15)&lt;0,(999999999+(E24-E14+E15)),IF((E24-E14+E15)&gt;999999999,((E24-E14+E15)-999999999),(E24-E14+E15)))+1)+(999999999-C19))-999999999),((IF((E24-E14+E15)&lt;0,(999999999+(E24-E14+E15)),IF((E24-E14+E15)&gt;999999999,((E24-E14+E15)-999999999),(E24-E14+E15)))+1)+(999999999-C19))))+(B18+E18-1))&gt;(999999999*2),
((IF(((IF((E24-E14+E15)&lt;0,(999999999+(E24-E14+E15)),IF((E24-E14+E15)&gt;999999999,((E24-E14+E15)-999999999),(E24-E14+E15)))+1)+(999999999-C19))&lt;0,(999999999+((IF((E24-E14+E15)&lt;0,(999999999+(E24-E14+E15)),IF((E24-E14+E15)&gt;999999999,((E24-E14+E15)-999999999),(E24-E14+E15)))+1)+(999999999-C19))),IF(((IF((E24-E14+E15)&lt;0,(999999999+(E24-E14+E15)),IF((E24-E14+E15)&gt;999999999,((E24-E14+E15)-999999999),(E24-E14+E15)))+1)+(999999999-C19))&gt;999999999,(((IF((E24-E14+E15)&lt;0,(999999999+(E24-E14+E15)),IF((E24-E14+E15)&gt;999999999,((E24-E14+E15)-999999999),(E24-E14+E15)))+1)+(999999999-C19))-999999999),((IF((E24-E14+E15)&lt;0,(999999999+(E24-E14+E15)),IF((E24-E14+E15)&gt;999999999,((E24-E14+E15)-999999999),(E24-E14+E15)))+1)+(999999999-C19))))+(B18+E18-1))-(999999999*2)),
IF((IF(((IF((E24-E14+E15)&lt;0,(999999999+(E24-E14+E15)),IF((E24-E14+E15)&gt;999999999,((E24-E14+E15)-999999999),(E24-E14+E15)))+1)+(999999999-C19))&lt;0,(999999999+((IF((E24-E14+E15)&lt;0,(999999999+(E24-E14+E15)),IF((E24-E14+E15)&gt;999999999,((E24-E14+E15)-999999999),(E24-E14+E15)))+1)+(999999999-C19))),IF(((IF((E24-E14+E15)&lt;0,(999999999+(E24-E14+E15)),IF((E24-E14+E15)&gt;999999999,((E24-E14+E15)-999999999),(E24-E14+E15)))+1)+(999999999-C19))&gt;999999999,(((IF((E24-E14+E15)&lt;0,(999999999+(E24-E14+E15)),IF((E24-E14+E15)&gt;999999999,((E24-E14+E15)-999999999),(E24-E14+E15)))+1)+(999999999-C19))-999999999),((IF((E24-E14+E15)&lt;0,(999999999+(E24-E14+E15)),IF((E24-E14+E15)&gt;999999999,((E24-E14+E15)-999999999),(E24-E14+E15)))+1)+(999999999-C19))))+(B18+E18-1))&gt;(999999999*1),
((IF(((IF((E24-E14+E15)&lt;0,(999999999+(E24-E14+E15)),IF((E24-E14+E15)&gt;999999999,((E24-E14+E15)-999999999),(E24-E14+E15)))+1)+(999999999-C19))&lt;0,(999999999+((IF((E24-E14+E15)&lt;0,(999999999+(E24-E14+E15)),IF((E24-E14+E15)&gt;999999999,((E24-E14+E15)-999999999),(E24-E14+E15)))+1)+(999999999-C19))),IF(((IF((E24-E14+E15)&lt;0,(999999999+(E24-E14+E15)),IF((E24-E14+E15)&gt;999999999,((E24-E14+E15)-999999999),(E24-E14+E15)))+1)+(999999999-C19))&gt;999999999,(((IF((E24-E14+E15)&lt;0,(999999999+(E24-E14+E15)),IF((E24-E14+E15)&gt;999999999,((E24-E14+E15)-999999999),(E24-E14+E15)))+1)+(999999999-C19))-999999999),((IF((E24-E14+E15)&lt;0,(999999999+(E24-E14+E15)),IF((E24-E14+E15)&gt;999999999,((E24-E14+E15)-999999999),(E24-E14+E15)))+1)+(999999999-C19))))+(B18+E18-1))-(999999999*1)),
(IF(((IF((E24-E14+E15)&lt;0,(999999999+(E24-E14+E15)),IF((E24-E14+E15)&gt;999999999,((E24-E14+E15)-999999999),(E24-E14+E15)))+1)+(999999999-C19))&lt;0,(999999999+((IF((E24-E14+E15)&lt;0,(999999999+(E24-E14+E15)),IF((E24-E14+E15)&gt;999999999,((E24-E14+E15)-999999999),(E24-E14+E15)))+1)+(999999999-C19))),IF(((IF((E24-E14+E15)&lt;0,(999999999+(E24-E14+E15)),IF((E24-E14+E15)&gt;999999999,((E24-E14+E15)-999999999),(E24-E14+E15)))+1)+(999999999-C19))&gt;999999999,(((IF((E24-E14+E15)&lt;0,(999999999+(E24-E14+E15)),IF((E24-E14+E15)&gt;999999999,((E24-E14+E15)-999999999),(E24-E14+E15)))+1)+(999999999-C19))-999999999),((IF((E24-E14+E15)&lt;0,(999999999+(E24-E14+E15)),IF((E24-E14+E15)&gt;999999999,((E24-E14+E15)-999999999),(E24-E14+E15)))+1)+(999999999-C19))))
+(B18+E18-1))
)))</f>
        <v>224080017</v>
      </c>
      <c r="F25" s="11"/>
      <c r="G25" s="11"/>
      <c r="H25" s="31" t="s">
        <v>38</v>
      </c>
      <c r="I25" s="14">
        <v>23</v>
      </c>
      <c r="J25" s="9"/>
      <c r="K25" s="23" t="s">
        <v>102</v>
      </c>
      <c r="L25" s="31" t="s">
        <v>38</v>
      </c>
    </row>
    <row r="26" spans="1:13" ht="15" thickBot="1" x14ac:dyDescent="0.35">
      <c r="A26" s="35" t="s">
        <v>64</v>
      </c>
      <c r="B26" s="35" t="str">
        <f>IF(IF((IF((888888888+E16)&gt;999999999,((888888888+E16)-999999999),(888888888+E16))-B25)&lt;0,(999999999+(IF((888888888+E16)&gt;999999999,((888888888+E16)-999999999),(888888888+E16))-B25)),(IF((888888888+E16)&gt;999999999,((888888888+E16)-999999999),(888888888+E16))-B25))=888888888,"CALIBRATION_SUCCESS","CALIBRATION_FAIL")</f>
        <v>CALIBRATION_SUCCESS</v>
      </c>
      <c r="C26" s="38" t="s">
        <v>67</v>
      </c>
      <c r="D26" s="35" t="s">
        <v>64</v>
      </c>
      <c r="E26" s="35" t="str">
        <f>IF(IF((IF((888888888+B16)&gt;999999999,((888888888+B16)-999999999),(888888888+B16))-E25)&lt;0,(999999999+(IF((888888888+B16)&gt;999999999,((888888888+B16)-999999999),(888888888+B16))-E25)),(IF((888888888+B16)&gt;999999999,((888888888+B16)-999999999),(888888888+B16))-E25))=888888888,"CALIBRATION_SUCCESS","CALIBRATION_FAIL")</f>
        <v>CALIBRATION_SUCCESS</v>
      </c>
      <c r="F26" s="11"/>
      <c r="G26" s="11" t="s">
        <v>54</v>
      </c>
      <c r="H26" s="31" t="s">
        <v>35</v>
      </c>
      <c r="I26" s="14">
        <v>24</v>
      </c>
      <c r="J26" s="9"/>
      <c r="K26" s="24" t="s">
        <v>103</v>
      </c>
      <c r="L26" s="31" t="s">
        <v>35</v>
      </c>
      <c r="M26" t="s">
        <v>54</v>
      </c>
    </row>
    <row r="27" spans="1:13" ht="14.4" customHeight="1" x14ac:dyDescent="0.3">
      <c r="G27" s="76" t="s">
        <v>40</v>
      </c>
      <c r="H27" s="30" t="s">
        <v>48</v>
      </c>
      <c r="I27" s="73">
        <v>25</v>
      </c>
      <c r="J27" s="82" t="s">
        <v>115</v>
      </c>
      <c r="K27" s="85" t="s">
        <v>116</v>
      </c>
      <c r="L27" s="30" t="s">
        <v>48</v>
      </c>
      <c r="M27" s="76" t="s">
        <v>40</v>
      </c>
    </row>
    <row r="28" spans="1:13" ht="14.4" customHeight="1" thickBot="1" x14ac:dyDescent="0.35">
      <c r="A28" t="s">
        <v>126</v>
      </c>
      <c r="C28" s="38" t="s">
        <v>123</v>
      </c>
      <c r="D28" t="s">
        <v>127</v>
      </c>
      <c r="F28" s="11"/>
      <c r="G28" s="77"/>
      <c r="H28" s="31" t="s">
        <v>14</v>
      </c>
      <c r="I28" s="81"/>
      <c r="J28" s="83"/>
      <c r="K28" s="86"/>
      <c r="L28" s="31" t="s">
        <v>14</v>
      </c>
      <c r="M28" s="77"/>
    </row>
    <row r="29" spans="1:13" ht="14.4" customHeight="1" thickBot="1" x14ac:dyDescent="0.35">
      <c r="A29" s="59" t="s">
        <v>117</v>
      </c>
      <c r="B29" s="62" t="s">
        <v>135</v>
      </c>
      <c r="C29" s="38" t="s">
        <v>124</v>
      </c>
      <c r="D29" s="59" t="s">
        <v>117</v>
      </c>
      <c r="E29" s="62" t="s">
        <v>133</v>
      </c>
      <c r="F29" s="11"/>
      <c r="G29" s="77"/>
      <c r="H29" s="31" t="s">
        <v>15</v>
      </c>
      <c r="I29" s="81"/>
      <c r="J29" s="83"/>
      <c r="K29" s="86"/>
      <c r="L29" s="31" t="s">
        <v>15</v>
      </c>
      <c r="M29" s="77"/>
    </row>
    <row r="30" spans="1:13" ht="15" thickBot="1" x14ac:dyDescent="0.35">
      <c r="A30" s="60" t="s">
        <v>118</v>
      </c>
      <c r="B30" s="62" t="s">
        <v>136</v>
      </c>
      <c r="C30" s="38" t="s">
        <v>125</v>
      </c>
      <c r="D30" s="60" t="s">
        <v>118</v>
      </c>
      <c r="E30" s="62" t="s">
        <v>134</v>
      </c>
      <c r="F30" s="11"/>
      <c r="G30" s="77"/>
      <c r="H30" s="31" t="s">
        <v>14</v>
      </c>
      <c r="I30" s="81"/>
      <c r="J30" s="83"/>
      <c r="K30" s="86"/>
      <c r="L30" s="31" t="s">
        <v>14</v>
      </c>
      <c r="M30" s="77"/>
    </row>
    <row r="31" spans="1:13" ht="15" customHeight="1" thickBot="1" x14ac:dyDescent="0.35">
      <c r="G31" s="77"/>
      <c r="H31" s="31" t="s">
        <v>40</v>
      </c>
      <c r="I31" s="81"/>
      <c r="J31" s="83"/>
      <c r="K31" s="86"/>
      <c r="L31" s="31" t="s">
        <v>40</v>
      </c>
      <c r="M31" s="77"/>
    </row>
    <row r="32" spans="1:13" ht="14.4" customHeight="1" x14ac:dyDescent="0.3">
      <c r="A32" s="64" t="s">
        <v>25</v>
      </c>
      <c r="B32" s="65"/>
      <c r="C32" s="65"/>
      <c r="D32" s="65"/>
      <c r="E32" s="66"/>
      <c r="F32" s="11"/>
      <c r="G32" s="77"/>
      <c r="H32" s="31" t="s">
        <v>47</v>
      </c>
      <c r="I32" s="81"/>
      <c r="J32" s="83"/>
      <c r="K32" s="86"/>
      <c r="L32" s="31" t="s">
        <v>47</v>
      </c>
      <c r="M32" s="77"/>
    </row>
    <row r="33" spans="1:13" ht="14.4" customHeight="1" thickBot="1" x14ac:dyDescent="0.35">
      <c r="A33" s="67"/>
      <c r="B33" s="68"/>
      <c r="C33" s="68"/>
      <c r="D33" s="68"/>
      <c r="E33" s="69"/>
      <c r="F33" s="11"/>
      <c r="G33" s="78"/>
      <c r="H33" s="32" t="s">
        <v>14</v>
      </c>
      <c r="I33" s="75"/>
      <c r="J33" s="84"/>
      <c r="K33" s="87"/>
      <c r="L33" s="32" t="s">
        <v>14</v>
      </c>
      <c r="M33" s="78"/>
    </row>
    <row r="34" spans="1:13" ht="15" customHeight="1" thickBot="1" x14ac:dyDescent="0.35">
      <c r="A34" s="70"/>
      <c r="B34" s="71"/>
      <c r="C34" s="71"/>
      <c r="D34" s="71"/>
      <c r="E34" s="72"/>
      <c r="F34" s="11"/>
      <c r="H34" s="30" t="s">
        <v>47</v>
      </c>
      <c r="I34" s="29">
        <v>26</v>
      </c>
      <c r="J34" s="10" t="s">
        <v>7</v>
      </c>
      <c r="K34" s="28" t="s">
        <v>7</v>
      </c>
      <c r="L34" s="30" t="s">
        <v>47</v>
      </c>
    </row>
    <row r="35" spans="1:13" ht="15" customHeight="1" thickBot="1" x14ac:dyDescent="0.35">
      <c r="A35" s="15"/>
      <c r="B35" s="15"/>
      <c r="C35" s="15"/>
      <c r="D35" s="15"/>
      <c r="E35" s="15"/>
      <c r="F35" s="11"/>
      <c r="H35" s="31" t="s">
        <v>35</v>
      </c>
      <c r="I35" s="14">
        <v>27</v>
      </c>
      <c r="J35" s="10" t="s">
        <v>8</v>
      </c>
      <c r="K35" s="28" t="s">
        <v>8</v>
      </c>
      <c r="L35" s="31" t="s">
        <v>35</v>
      </c>
    </row>
    <row r="36" spans="1:13" ht="14.4" customHeight="1" x14ac:dyDescent="0.3">
      <c r="A36" s="64" t="s">
        <v>11</v>
      </c>
      <c r="B36" s="65"/>
      <c r="C36" s="65"/>
      <c r="D36" s="65"/>
      <c r="E36" s="66"/>
      <c r="F36" s="11"/>
      <c r="H36" s="31" t="s">
        <v>43</v>
      </c>
      <c r="I36" s="14">
        <v>28</v>
      </c>
      <c r="J36" s="10" t="s">
        <v>9</v>
      </c>
      <c r="K36" s="28" t="s">
        <v>9</v>
      </c>
      <c r="L36" s="31" t="s">
        <v>43</v>
      </c>
    </row>
    <row r="37" spans="1:13" ht="14.4" customHeight="1" x14ac:dyDescent="0.3">
      <c r="A37" s="67"/>
      <c r="B37" s="68"/>
      <c r="C37" s="68"/>
      <c r="D37" s="68"/>
      <c r="E37" s="69"/>
      <c r="F37" s="11"/>
      <c r="H37" s="31" t="s">
        <v>43</v>
      </c>
      <c r="I37" s="14">
        <v>29</v>
      </c>
      <c r="J37" s="10" t="s">
        <v>10</v>
      </c>
      <c r="K37" s="28" t="s">
        <v>10</v>
      </c>
      <c r="L37" s="31" t="s">
        <v>43</v>
      </c>
    </row>
    <row r="38" spans="1:13" ht="15" customHeight="1" thickBot="1" x14ac:dyDescent="0.35">
      <c r="A38" s="70"/>
      <c r="B38" s="71"/>
      <c r="C38" s="71"/>
      <c r="D38" s="71"/>
      <c r="E38" s="72"/>
      <c r="F38" s="11"/>
      <c r="H38" s="31" t="s">
        <v>41</v>
      </c>
      <c r="I38" s="73">
        <v>30</v>
      </c>
      <c r="J38" s="94" t="s">
        <v>104</v>
      </c>
      <c r="K38" s="79" t="s">
        <v>107</v>
      </c>
      <c r="L38" s="31" t="s">
        <v>41</v>
      </c>
    </row>
    <row r="39" spans="1:13" ht="14.4" customHeight="1" thickBot="1" x14ac:dyDescent="0.35">
      <c r="F39" s="11"/>
      <c r="H39" s="31" t="s">
        <v>46</v>
      </c>
      <c r="I39" s="75"/>
      <c r="J39" s="95"/>
      <c r="K39" s="80"/>
      <c r="L39" s="31" t="s">
        <v>46</v>
      </c>
    </row>
    <row r="40" spans="1:13" ht="14.4" customHeight="1" x14ac:dyDescent="0.3">
      <c r="A40" s="64" t="s">
        <v>12</v>
      </c>
      <c r="B40" s="65"/>
      <c r="C40" s="65"/>
      <c r="D40" s="65"/>
      <c r="E40" s="66"/>
      <c r="F40" s="11"/>
      <c r="H40" s="31" t="s">
        <v>36</v>
      </c>
      <c r="I40" s="73">
        <v>31</v>
      </c>
      <c r="J40" s="94" t="s">
        <v>106</v>
      </c>
      <c r="K40" s="79" t="s">
        <v>105</v>
      </c>
      <c r="L40" s="31" t="s">
        <v>36</v>
      </c>
    </row>
    <row r="41" spans="1:13" ht="15" thickBot="1" x14ac:dyDescent="0.35">
      <c r="A41" s="67"/>
      <c r="B41" s="68"/>
      <c r="C41" s="68"/>
      <c r="D41" s="68"/>
      <c r="E41" s="69"/>
      <c r="H41" s="31" t="s">
        <v>14</v>
      </c>
      <c r="I41" s="74"/>
      <c r="J41" s="95"/>
      <c r="K41" s="80"/>
      <c r="L41" s="31" t="s">
        <v>14</v>
      </c>
    </row>
    <row r="42" spans="1:13" ht="14.4" customHeight="1" thickBot="1" x14ac:dyDescent="0.35">
      <c r="A42" s="70"/>
      <c r="B42" s="71"/>
      <c r="C42" s="71"/>
      <c r="D42" s="71"/>
      <c r="E42" s="72"/>
      <c r="H42" s="30" t="s">
        <v>47</v>
      </c>
      <c r="I42" s="96">
        <v>32</v>
      </c>
      <c r="J42" s="88" t="s">
        <v>62</v>
      </c>
      <c r="K42" s="91" t="s">
        <v>62</v>
      </c>
      <c r="L42" s="30" t="s">
        <v>47</v>
      </c>
    </row>
    <row r="43" spans="1:13" ht="14.4" customHeight="1" thickBot="1" x14ac:dyDescent="0.35">
      <c r="H43" s="31" t="s">
        <v>35</v>
      </c>
      <c r="I43" s="97"/>
      <c r="J43" s="89"/>
      <c r="K43" s="92"/>
      <c r="L43" s="31" t="s">
        <v>35</v>
      </c>
    </row>
    <row r="44" spans="1:13" x14ac:dyDescent="0.3">
      <c r="A44" s="64" t="s">
        <v>13</v>
      </c>
      <c r="B44" s="65"/>
      <c r="C44" s="65"/>
      <c r="D44" s="65"/>
      <c r="E44" s="66"/>
      <c r="H44" s="31" t="s">
        <v>15</v>
      </c>
      <c r="I44" s="97"/>
      <c r="J44" s="89"/>
      <c r="K44" s="92"/>
      <c r="L44" s="31" t="s">
        <v>15</v>
      </c>
    </row>
    <row r="45" spans="1:13" x14ac:dyDescent="0.3">
      <c r="A45" s="67"/>
      <c r="B45" s="68"/>
      <c r="C45" s="68"/>
      <c r="D45" s="68"/>
      <c r="E45" s="69"/>
      <c r="H45" s="31" t="s">
        <v>15</v>
      </c>
      <c r="I45" s="97"/>
      <c r="J45" s="89"/>
      <c r="K45" s="92"/>
      <c r="L45" s="31" t="s">
        <v>15</v>
      </c>
    </row>
    <row r="46" spans="1:13" ht="14.4" customHeight="1" x14ac:dyDescent="0.3">
      <c r="A46" s="67"/>
      <c r="B46" s="68"/>
      <c r="C46" s="68"/>
      <c r="D46" s="68"/>
      <c r="E46" s="69"/>
      <c r="H46" s="31" t="s">
        <v>14</v>
      </c>
      <c r="I46" s="97"/>
      <c r="J46" s="89"/>
      <c r="K46" s="92"/>
      <c r="L46" s="31" t="s">
        <v>14</v>
      </c>
    </row>
    <row r="47" spans="1:13" ht="14.4" customHeight="1" x14ac:dyDescent="0.3">
      <c r="A47" s="67"/>
      <c r="B47" s="68"/>
      <c r="C47" s="68"/>
      <c r="D47" s="68"/>
      <c r="E47" s="69"/>
      <c r="H47" s="31" t="s">
        <v>47</v>
      </c>
      <c r="I47" s="97"/>
      <c r="J47" s="89"/>
      <c r="K47" s="92"/>
      <c r="L47" s="31" t="s">
        <v>47</v>
      </c>
    </row>
    <row r="48" spans="1:13" x14ac:dyDescent="0.3">
      <c r="A48" s="67"/>
      <c r="B48" s="68"/>
      <c r="C48" s="68"/>
      <c r="D48" s="68"/>
      <c r="E48" s="69"/>
      <c r="H48" s="31" t="s">
        <v>39</v>
      </c>
      <c r="I48" s="97"/>
      <c r="J48" s="89"/>
      <c r="K48" s="92"/>
      <c r="L48" s="31" t="s">
        <v>39</v>
      </c>
    </row>
    <row r="49" spans="1:12" ht="14.4" customHeight="1" x14ac:dyDescent="0.3">
      <c r="A49" s="67"/>
      <c r="B49" s="68"/>
      <c r="C49" s="68"/>
      <c r="D49" s="68"/>
      <c r="E49" s="69"/>
      <c r="H49" s="31" t="s">
        <v>38</v>
      </c>
      <c r="I49" s="97"/>
      <c r="J49" s="89"/>
      <c r="K49" s="92"/>
      <c r="L49" s="31" t="s">
        <v>38</v>
      </c>
    </row>
    <row r="50" spans="1:12" ht="14.4" customHeight="1" x14ac:dyDescent="0.3">
      <c r="A50" s="67"/>
      <c r="B50" s="68"/>
      <c r="C50" s="68"/>
      <c r="D50" s="68"/>
      <c r="E50" s="69"/>
      <c r="H50" s="31" t="s">
        <v>35</v>
      </c>
      <c r="I50" s="97"/>
      <c r="J50" s="89"/>
      <c r="K50" s="92"/>
      <c r="L50" s="31" t="s">
        <v>35</v>
      </c>
    </row>
    <row r="51" spans="1:12" ht="14.4" customHeight="1" thickBot="1" x14ac:dyDescent="0.35">
      <c r="A51" s="67"/>
      <c r="B51" s="68"/>
      <c r="C51" s="68"/>
      <c r="D51" s="68"/>
      <c r="E51" s="69"/>
      <c r="H51" s="32" t="s">
        <v>40</v>
      </c>
      <c r="I51" s="98"/>
      <c r="J51" s="90"/>
      <c r="K51" s="93"/>
      <c r="L51" s="32" t="s">
        <v>40</v>
      </c>
    </row>
    <row r="52" spans="1:12" ht="14.4" customHeight="1" thickBot="1" x14ac:dyDescent="0.35">
      <c r="A52" s="70"/>
      <c r="B52" s="71"/>
      <c r="C52" s="71"/>
      <c r="D52" s="71"/>
      <c r="E52" s="72"/>
      <c r="H52" s="33" t="s">
        <v>49</v>
      </c>
      <c r="I52" s="34">
        <v>33</v>
      </c>
      <c r="J52" s="36" t="s">
        <v>56</v>
      </c>
      <c r="K52" s="36" t="s">
        <v>56</v>
      </c>
      <c r="L52" s="33" t="s">
        <v>49</v>
      </c>
    </row>
    <row r="53" spans="1:12" ht="14.4" customHeight="1" thickBot="1" x14ac:dyDescent="0.35"/>
    <row r="54" spans="1:12" ht="14.4" customHeight="1" x14ac:dyDescent="0.3">
      <c r="A54" s="64" t="s">
        <v>24</v>
      </c>
      <c r="B54" s="65"/>
      <c r="C54" s="65"/>
      <c r="D54" s="65"/>
      <c r="E54" s="66"/>
    </row>
    <row r="55" spans="1:12" x14ac:dyDescent="0.3">
      <c r="A55" s="67"/>
      <c r="B55" s="68"/>
      <c r="C55" s="68"/>
      <c r="D55" s="68"/>
      <c r="E55" s="69"/>
    </row>
    <row r="56" spans="1:12" ht="14.4" customHeight="1" thickBot="1" x14ac:dyDescent="0.35">
      <c r="A56" s="70"/>
      <c r="B56" s="71"/>
      <c r="C56" s="71"/>
      <c r="D56" s="71"/>
      <c r="E56" s="72"/>
    </row>
    <row r="57" spans="1:12" ht="15" thickBot="1" x14ac:dyDescent="0.35"/>
    <row r="58" spans="1:12" ht="14.4" customHeight="1" x14ac:dyDescent="0.3">
      <c r="A58" s="64" t="s">
        <v>74</v>
      </c>
      <c r="B58" s="65"/>
      <c r="C58" s="65"/>
      <c r="D58" s="65"/>
      <c r="E58" s="66"/>
    </row>
    <row r="59" spans="1:12" ht="14.4" customHeight="1" x14ac:dyDescent="0.3">
      <c r="A59" s="67"/>
      <c r="B59" s="68"/>
      <c r="C59" s="68"/>
      <c r="D59" s="68"/>
      <c r="E59" s="69"/>
    </row>
    <row r="60" spans="1:12" x14ac:dyDescent="0.3">
      <c r="A60" s="67"/>
      <c r="B60" s="68"/>
      <c r="C60" s="68"/>
      <c r="D60" s="68"/>
      <c r="E60" s="69"/>
    </row>
    <row r="61" spans="1:12" ht="15" thickBot="1" x14ac:dyDescent="0.35">
      <c r="A61" s="70"/>
      <c r="B61" s="71"/>
      <c r="C61" s="71"/>
      <c r="D61" s="71"/>
      <c r="E61" s="72"/>
    </row>
    <row r="62" spans="1:12" ht="15" thickBot="1" x14ac:dyDescent="0.35"/>
    <row r="63" spans="1:12" x14ac:dyDescent="0.3">
      <c r="A63" s="64" t="s">
        <v>61</v>
      </c>
      <c r="B63" s="65"/>
      <c r="C63" s="65"/>
      <c r="D63" s="65"/>
      <c r="E63" s="66"/>
    </row>
    <row r="64" spans="1:12" x14ac:dyDescent="0.3">
      <c r="A64" s="67"/>
      <c r="B64" s="68"/>
      <c r="C64" s="68"/>
      <c r="D64" s="68"/>
      <c r="E64" s="69"/>
    </row>
    <row r="65" spans="1:5" x14ac:dyDescent="0.3">
      <c r="A65" s="67"/>
      <c r="B65" s="68"/>
      <c r="C65" s="68"/>
      <c r="D65" s="68"/>
      <c r="E65" s="69"/>
    </row>
    <row r="66" spans="1:5" ht="14.4" customHeight="1" x14ac:dyDescent="0.3">
      <c r="A66" s="67"/>
      <c r="B66" s="68"/>
      <c r="C66" s="68"/>
      <c r="D66" s="68"/>
      <c r="E66" s="69"/>
    </row>
    <row r="67" spans="1:5" x14ac:dyDescent="0.3">
      <c r="A67" s="67"/>
      <c r="B67" s="68"/>
      <c r="C67" s="68"/>
      <c r="D67" s="68"/>
      <c r="E67" s="69"/>
    </row>
    <row r="68" spans="1:5" x14ac:dyDescent="0.3">
      <c r="A68" s="67"/>
      <c r="B68" s="68"/>
      <c r="C68" s="68"/>
      <c r="D68" s="68"/>
      <c r="E68" s="69"/>
    </row>
    <row r="69" spans="1:5" x14ac:dyDescent="0.3">
      <c r="A69" s="67"/>
      <c r="B69" s="68"/>
      <c r="C69" s="68"/>
      <c r="D69" s="68"/>
      <c r="E69" s="69"/>
    </row>
    <row r="70" spans="1:5" ht="14.4" customHeight="1" x14ac:dyDescent="0.3">
      <c r="A70" s="67"/>
      <c r="B70" s="68"/>
      <c r="C70" s="68"/>
      <c r="D70" s="68"/>
      <c r="E70" s="69"/>
    </row>
    <row r="71" spans="1:5" x14ac:dyDescent="0.3">
      <c r="A71" s="67"/>
      <c r="B71" s="68"/>
      <c r="C71" s="68"/>
      <c r="D71" s="68"/>
      <c r="E71" s="69"/>
    </row>
    <row r="72" spans="1:5" ht="14.4" customHeight="1" x14ac:dyDescent="0.3">
      <c r="A72" s="67"/>
      <c r="B72" s="68"/>
      <c r="C72" s="68"/>
      <c r="D72" s="68"/>
      <c r="E72" s="69"/>
    </row>
    <row r="73" spans="1:5" ht="14.4" customHeight="1" x14ac:dyDescent="0.3">
      <c r="A73" s="67"/>
      <c r="B73" s="68"/>
      <c r="C73" s="68"/>
      <c r="D73" s="68"/>
      <c r="E73" s="69"/>
    </row>
    <row r="74" spans="1:5" x14ac:dyDescent="0.3">
      <c r="A74" s="67"/>
      <c r="B74" s="68"/>
      <c r="C74" s="68"/>
      <c r="D74" s="68"/>
      <c r="E74" s="69"/>
    </row>
    <row r="75" spans="1:5" ht="15" thickBot="1" x14ac:dyDescent="0.35">
      <c r="A75" s="70"/>
      <c r="B75" s="71"/>
      <c r="C75" s="71"/>
      <c r="D75" s="71"/>
      <c r="E75" s="72"/>
    </row>
    <row r="76" spans="1:5" ht="15" thickBot="1" x14ac:dyDescent="0.35"/>
    <row r="77" spans="1:5" ht="14.4" customHeight="1" x14ac:dyDescent="0.3">
      <c r="A77" s="64" t="s">
        <v>63</v>
      </c>
      <c r="B77" s="65"/>
      <c r="C77" s="65"/>
      <c r="D77" s="65"/>
      <c r="E77" s="66"/>
    </row>
    <row r="78" spans="1:5" x14ac:dyDescent="0.3">
      <c r="A78" s="67"/>
      <c r="B78" s="68"/>
      <c r="C78" s="68"/>
      <c r="D78" s="68"/>
      <c r="E78" s="69"/>
    </row>
    <row r="79" spans="1:5" x14ac:dyDescent="0.3">
      <c r="A79" s="67"/>
      <c r="B79" s="68"/>
      <c r="C79" s="68"/>
      <c r="D79" s="68"/>
      <c r="E79" s="69"/>
    </row>
    <row r="80" spans="1:5" ht="14.4" customHeight="1" x14ac:dyDescent="0.3">
      <c r="A80" s="67"/>
      <c r="B80" s="68"/>
      <c r="C80" s="68"/>
      <c r="D80" s="68"/>
      <c r="E80" s="69"/>
    </row>
    <row r="81" spans="1:5" ht="14.4" customHeight="1" x14ac:dyDescent="0.3">
      <c r="A81" s="67"/>
      <c r="B81" s="68"/>
      <c r="C81" s="68"/>
      <c r="D81" s="68"/>
      <c r="E81" s="69"/>
    </row>
    <row r="82" spans="1:5" x14ac:dyDescent="0.3">
      <c r="A82" s="67"/>
      <c r="B82" s="68"/>
      <c r="C82" s="68"/>
      <c r="D82" s="68"/>
      <c r="E82" s="69"/>
    </row>
    <row r="83" spans="1:5" ht="14.4" customHeight="1" thickBot="1" x14ac:dyDescent="0.35">
      <c r="A83" s="70"/>
      <c r="B83" s="71"/>
      <c r="C83" s="71"/>
      <c r="D83" s="71"/>
      <c r="E83" s="72"/>
    </row>
    <row r="84" spans="1:5" ht="15" thickBot="1" x14ac:dyDescent="0.35"/>
    <row r="85" spans="1:5" ht="14.4" customHeight="1" x14ac:dyDescent="0.3">
      <c r="A85" s="64" t="s">
        <v>26</v>
      </c>
      <c r="B85" s="65"/>
      <c r="C85" s="65"/>
      <c r="D85" s="65"/>
      <c r="E85" s="66"/>
    </row>
    <row r="86" spans="1:5" ht="14.4" customHeight="1" x14ac:dyDescent="0.3">
      <c r="A86" s="67"/>
      <c r="B86" s="68"/>
      <c r="C86" s="68"/>
      <c r="D86" s="68"/>
      <c r="E86" s="69"/>
    </row>
    <row r="87" spans="1:5" x14ac:dyDescent="0.3">
      <c r="A87" s="67"/>
      <c r="B87" s="68"/>
      <c r="C87" s="68"/>
      <c r="D87" s="68"/>
      <c r="E87" s="69"/>
    </row>
    <row r="88" spans="1:5" ht="14.4" customHeight="1" thickBot="1" x14ac:dyDescent="0.35">
      <c r="A88" s="70"/>
      <c r="B88" s="71"/>
      <c r="C88" s="71"/>
      <c r="D88" s="71"/>
      <c r="E88" s="72"/>
    </row>
    <row r="89" spans="1:5" ht="15" thickBot="1" x14ac:dyDescent="0.35"/>
    <row r="90" spans="1:5" ht="14.4" customHeight="1" x14ac:dyDescent="0.3">
      <c r="A90" s="64" t="s">
        <v>27</v>
      </c>
      <c r="B90" s="65"/>
      <c r="C90" s="65"/>
      <c r="D90" s="65"/>
      <c r="E90" s="66"/>
    </row>
    <row r="91" spans="1:5" ht="14.4" customHeight="1" x14ac:dyDescent="0.3">
      <c r="A91" s="67"/>
      <c r="B91" s="68"/>
      <c r="C91" s="68"/>
      <c r="D91" s="68"/>
      <c r="E91" s="69"/>
    </row>
    <row r="92" spans="1:5" x14ac:dyDescent="0.3">
      <c r="A92" s="67"/>
      <c r="B92" s="68"/>
      <c r="C92" s="68"/>
      <c r="D92" s="68"/>
      <c r="E92" s="69"/>
    </row>
    <row r="93" spans="1:5" ht="15" thickBot="1" x14ac:dyDescent="0.35">
      <c r="A93" s="70"/>
      <c r="B93" s="71"/>
      <c r="C93" s="71"/>
      <c r="D93" s="71"/>
      <c r="E93" s="72"/>
    </row>
    <row r="94" spans="1:5" ht="15" thickBot="1" x14ac:dyDescent="0.35"/>
    <row r="95" spans="1:5" x14ac:dyDescent="0.3">
      <c r="A95" s="64" t="s">
        <v>51</v>
      </c>
      <c r="B95" s="65"/>
      <c r="C95" s="65"/>
      <c r="D95" s="65"/>
      <c r="E95" s="66"/>
    </row>
    <row r="96" spans="1:5" x14ac:dyDescent="0.3">
      <c r="A96" s="67"/>
      <c r="B96" s="68"/>
      <c r="C96" s="68"/>
      <c r="D96" s="68"/>
      <c r="E96" s="69"/>
    </row>
    <row r="97" spans="1:5" x14ac:dyDescent="0.3">
      <c r="A97" s="67"/>
      <c r="B97" s="68"/>
      <c r="C97" s="68"/>
      <c r="D97" s="68"/>
      <c r="E97" s="69"/>
    </row>
    <row r="98" spans="1:5" ht="14.4" customHeight="1" x14ac:dyDescent="0.3">
      <c r="A98" s="67"/>
      <c r="B98" s="68"/>
      <c r="C98" s="68"/>
      <c r="D98" s="68"/>
      <c r="E98" s="69"/>
    </row>
    <row r="99" spans="1:5" x14ac:dyDescent="0.3">
      <c r="A99" s="67"/>
      <c r="B99" s="68"/>
      <c r="C99" s="68"/>
      <c r="D99" s="68"/>
      <c r="E99" s="69"/>
    </row>
    <row r="100" spans="1:5" ht="15" thickBot="1" x14ac:dyDescent="0.35">
      <c r="A100" s="70"/>
      <c r="B100" s="71"/>
      <c r="C100" s="71"/>
      <c r="D100" s="71"/>
      <c r="E100" s="72"/>
    </row>
    <row r="101" spans="1:5" ht="15" thickBot="1" x14ac:dyDescent="0.35"/>
    <row r="102" spans="1:5" ht="14.4" customHeight="1" x14ac:dyDescent="0.3">
      <c r="A102" s="64" t="s">
        <v>50</v>
      </c>
      <c r="B102" s="65"/>
      <c r="C102" s="65"/>
      <c r="D102" s="65"/>
      <c r="E102" s="66"/>
    </row>
    <row r="103" spans="1:5" x14ac:dyDescent="0.3">
      <c r="A103" s="67"/>
      <c r="B103" s="68"/>
      <c r="C103" s="68"/>
      <c r="D103" s="68"/>
      <c r="E103" s="69"/>
    </row>
    <row r="104" spans="1:5" ht="15" thickBot="1" x14ac:dyDescent="0.35">
      <c r="A104" s="70"/>
      <c r="B104" s="71"/>
      <c r="C104" s="71"/>
      <c r="D104" s="71"/>
      <c r="E104" s="72"/>
    </row>
    <row r="105" spans="1:5" ht="15" thickBot="1" x14ac:dyDescent="0.35"/>
    <row r="106" spans="1:5" x14ac:dyDescent="0.3">
      <c r="A106" s="64" t="s">
        <v>71</v>
      </c>
      <c r="B106" s="65"/>
      <c r="C106" s="65"/>
      <c r="D106" s="65"/>
      <c r="E106" s="66"/>
    </row>
    <row r="107" spans="1:5" x14ac:dyDescent="0.3">
      <c r="A107" s="67"/>
      <c r="B107" s="68"/>
      <c r="C107" s="68"/>
      <c r="D107" s="68"/>
      <c r="E107" s="69"/>
    </row>
    <row r="108" spans="1:5" x14ac:dyDescent="0.3">
      <c r="A108" s="67"/>
      <c r="B108" s="68"/>
      <c r="C108" s="68"/>
      <c r="D108" s="68"/>
      <c r="E108" s="69"/>
    </row>
    <row r="109" spans="1:5" x14ac:dyDescent="0.3">
      <c r="A109" s="67"/>
      <c r="B109" s="68"/>
      <c r="C109" s="68"/>
      <c r="D109" s="68"/>
      <c r="E109" s="69"/>
    </row>
    <row r="110" spans="1:5" ht="14.4" customHeight="1" x14ac:dyDescent="0.3">
      <c r="A110" s="67"/>
      <c r="B110" s="68"/>
      <c r="C110" s="68"/>
      <c r="D110" s="68"/>
      <c r="E110" s="69"/>
    </row>
    <row r="111" spans="1:5" x14ac:dyDescent="0.3">
      <c r="A111" s="67"/>
      <c r="B111" s="68"/>
      <c r="C111" s="68"/>
      <c r="D111" s="68"/>
      <c r="E111" s="69"/>
    </row>
    <row r="112" spans="1:5" ht="15" thickBot="1" x14ac:dyDescent="0.35">
      <c r="A112" s="70"/>
      <c r="B112" s="71"/>
      <c r="C112" s="71"/>
      <c r="D112" s="71"/>
      <c r="E112" s="72"/>
    </row>
    <row r="113" spans="1:5" ht="15" thickBot="1" x14ac:dyDescent="0.35">
      <c r="A113" s="13"/>
      <c r="B113" s="13"/>
      <c r="C113" s="13"/>
      <c r="D113" s="13"/>
      <c r="E113" s="13"/>
    </row>
    <row r="114" spans="1:5" x14ac:dyDescent="0.3">
      <c r="A114" s="64" t="s">
        <v>52</v>
      </c>
      <c r="B114" s="65"/>
      <c r="C114" s="65"/>
      <c r="D114" s="65"/>
      <c r="E114" s="66"/>
    </row>
    <row r="115" spans="1:5" x14ac:dyDescent="0.3">
      <c r="A115" s="67"/>
      <c r="B115" s="68"/>
      <c r="C115" s="68"/>
      <c r="D115" s="68"/>
      <c r="E115" s="69"/>
    </row>
    <row r="116" spans="1:5" ht="14.4" customHeight="1" x14ac:dyDescent="0.3">
      <c r="A116" s="67"/>
      <c r="B116" s="68"/>
      <c r="C116" s="68"/>
      <c r="D116" s="68"/>
      <c r="E116" s="69"/>
    </row>
    <row r="117" spans="1:5" x14ac:dyDescent="0.3">
      <c r="A117" s="67"/>
      <c r="B117" s="68"/>
      <c r="C117" s="68"/>
      <c r="D117" s="68"/>
      <c r="E117" s="69"/>
    </row>
    <row r="118" spans="1:5" ht="15" thickBot="1" x14ac:dyDescent="0.35">
      <c r="A118" s="70"/>
      <c r="B118" s="71"/>
      <c r="C118" s="71"/>
      <c r="D118" s="71"/>
      <c r="E118" s="72"/>
    </row>
    <row r="119" spans="1:5" ht="15" thickBot="1" x14ac:dyDescent="0.35">
      <c r="A119" s="13"/>
      <c r="B119" s="13"/>
      <c r="C119" s="13"/>
      <c r="D119" s="13"/>
      <c r="E119" s="13"/>
    </row>
    <row r="120" spans="1:5" x14ac:dyDescent="0.3">
      <c r="A120" s="64" t="s">
        <v>53</v>
      </c>
      <c r="B120" s="65"/>
      <c r="C120" s="65"/>
      <c r="D120" s="65"/>
      <c r="E120" s="66"/>
    </row>
    <row r="121" spans="1:5" x14ac:dyDescent="0.3">
      <c r="A121" s="67"/>
      <c r="B121" s="68"/>
      <c r="C121" s="68"/>
      <c r="D121" s="68"/>
      <c r="E121" s="69"/>
    </row>
    <row r="122" spans="1:5" x14ac:dyDescent="0.3">
      <c r="A122" s="67"/>
      <c r="B122" s="68"/>
      <c r="C122" s="68"/>
      <c r="D122" s="68"/>
      <c r="E122" s="69"/>
    </row>
    <row r="123" spans="1:5" ht="14.4" customHeight="1" x14ac:dyDescent="0.3">
      <c r="A123" s="67"/>
      <c r="B123" s="68"/>
      <c r="C123" s="68"/>
      <c r="D123" s="68"/>
      <c r="E123" s="69"/>
    </row>
    <row r="124" spans="1:5" x14ac:dyDescent="0.3">
      <c r="A124" s="67"/>
      <c r="B124" s="68"/>
      <c r="C124" s="68"/>
      <c r="D124" s="68"/>
      <c r="E124" s="69"/>
    </row>
    <row r="125" spans="1:5" ht="15" thickBot="1" x14ac:dyDescent="0.35">
      <c r="A125" s="70"/>
      <c r="B125" s="71"/>
      <c r="C125" s="71"/>
      <c r="D125" s="71"/>
      <c r="E125" s="72"/>
    </row>
    <row r="126" spans="1:5" ht="15" thickBot="1" x14ac:dyDescent="0.35"/>
    <row r="127" spans="1:5" x14ac:dyDescent="0.3">
      <c r="A127" s="64" t="s">
        <v>55</v>
      </c>
      <c r="B127" s="65"/>
      <c r="C127" s="65"/>
      <c r="D127" s="65"/>
      <c r="E127" s="66"/>
    </row>
    <row r="128" spans="1:5" x14ac:dyDescent="0.3">
      <c r="A128" s="67"/>
      <c r="B128" s="68"/>
      <c r="C128" s="68"/>
      <c r="D128" s="68"/>
      <c r="E128" s="69"/>
    </row>
    <row r="129" spans="1:5" x14ac:dyDescent="0.3">
      <c r="A129" s="67"/>
      <c r="B129" s="68"/>
      <c r="C129" s="68"/>
      <c r="D129" s="68"/>
      <c r="E129" s="69"/>
    </row>
    <row r="130" spans="1:5" x14ac:dyDescent="0.3">
      <c r="A130" s="67"/>
      <c r="B130" s="68"/>
      <c r="C130" s="68"/>
      <c r="D130" s="68"/>
      <c r="E130" s="69"/>
    </row>
    <row r="131" spans="1:5" x14ac:dyDescent="0.3">
      <c r="A131" s="67"/>
      <c r="B131" s="68"/>
      <c r="C131" s="68"/>
      <c r="D131" s="68"/>
      <c r="E131" s="69"/>
    </row>
    <row r="132" spans="1:5" x14ac:dyDescent="0.3">
      <c r="A132" s="67"/>
      <c r="B132" s="68"/>
      <c r="C132" s="68"/>
      <c r="D132" s="68"/>
      <c r="E132" s="69"/>
    </row>
    <row r="133" spans="1:5" x14ac:dyDescent="0.3">
      <c r="A133" s="67"/>
      <c r="B133" s="68"/>
      <c r="C133" s="68"/>
      <c r="D133" s="68"/>
      <c r="E133" s="69"/>
    </row>
    <row r="134" spans="1:5" ht="14.4" customHeight="1" x14ac:dyDescent="0.3">
      <c r="A134" s="67"/>
      <c r="B134" s="68"/>
      <c r="C134" s="68"/>
      <c r="D134" s="68"/>
      <c r="E134" s="69"/>
    </row>
    <row r="135" spans="1:5" x14ac:dyDescent="0.3">
      <c r="A135" s="67"/>
      <c r="B135" s="68"/>
      <c r="C135" s="68"/>
      <c r="D135" s="68"/>
      <c r="E135" s="69"/>
    </row>
    <row r="136" spans="1:5" ht="15" thickBot="1" x14ac:dyDescent="0.35">
      <c r="A136" s="70"/>
      <c r="B136" s="71"/>
      <c r="C136" s="71"/>
      <c r="D136" s="71"/>
      <c r="E136" s="72"/>
    </row>
    <row r="137" spans="1:5" ht="15" thickBot="1" x14ac:dyDescent="0.35"/>
    <row r="138" spans="1:5" x14ac:dyDescent="0.3">
      <c r="A138" s="64" t="s">
        <v>58</v>
      </c>
      <c r="B138" s="65"/>
      <c r="C138" s="65"/>
      <c r="D138" s="65"/>
      <c r="E138" s="66"/>
    </row>
    <row r="139" spans="1:5" ht="14.4" customHeight="1" x14ac:dyDescent="0.3">
      <c r="A139" s="67"/>
      <c r="B139" s="68"/>
      <c r="C139" s="68"/>
      <c r="D139" s="68"/>
      <c r="E139" s="69"/>
    </row>
    <row r="140" spans="1:5" x14ac:dyDescent="0.3">
      <c r="A140" s="67"/>
      <c r="B140" s="68"/>
      <c r="C140" s="68"/>
      <c r="D140" s="68"/>
      <c r="E140" s="69"/>
    </row>
    <row r="141" spans="1:5" ht="15" thickBot="1" x14ac:dyDescent="0.35">
      <c r="A141" s="70"/>
      <c r="B141" s="71"/>
      <c r="C141" s="71"/>
      <c r="D141" s="71"/>
      <c r="E141" s="72"/>
    </row>
    <row r="142" spans="1:5" ht="15" thickBot="1" x14ac:dyDescent="0.35"/>
    <row r="143" spans="1:5" x14ac:dyDescent="0.3">
      <c r="A143" s="64" t="s">
        <v>57</v>
      </c>
      <c r="B143" s="65"/>
      <c r="C143" s="65"/>
      <c r="D143" s="65"/>
      <c r="E143" s="66"/>
    </row>
    <row r="144" spans="1:5" x14ac:dyDescent="0.3">
      <c r="A144" s="67"/>
      <c r="B144" s="68"/>
      <c r="C144" s="68"/>
      <c r="D144" s="68"/>
      <c r="E144" s="69"/>
    </row>
    <row r="145" spans="1:5" ht="14.4" customHeight="1" x14ac:dyDescent="0.3">
      <c r="A145" s="67"/>
      <c r="B145" s="68"/>
      <c r="C145" s="68"/>
      <c r="D145" s="68"/>
      <c r="E145" s="69"/>
    </row>
    <row r="146" spans="1:5" x14ac:dyDescent="0.3">
      <c r="A146" s="67"/>
      <c r="B146" s="68"/>
      <c r="C146" s="68"/>
      <c r="D146" s="68"/>
      <c r="E146" s="69"/>
    </row>
    <row r="147" spans="1:5" ht="15" thickBot="1" x14ac:dyDescent="0.35">
      <c r="A147" s="70"/>
      <c r="B147" s="71"/>
      <c r="C147" s="71"/>
      <c r="D147" s="71"/>
      <c r="E147" s="72"/>
    </row>
    <row r="148" spans="1:5" ht="15" thickBot="1" x14ac:dyDescent="0.35"/>
    <row r="149" spans="1:5" x14ac:dyDescent="0.3">
      <c r="A149" s="64" t="s">
        <v>59</v>
      </c>
      <c r="B149" s="65"/>
      <c r="C149" s="65"/>
      <c r="D149" s="65"/>
      <c r="E149" s="66"/>
    </row>
    <row r="150" spans="1:5" x14ac:dyDescent="0.3">
      <c r="A150" s="67"/>
      <c r="B150" s="68"/>
      <c r="C150" s="68"/>
      <c r="D150" s="68"/>
      <c r="E150" s="69"/>
    </row>
    <row r="151" spans="1:5" ht="14.4" customHeight="1" x14ac:dyDescent="0.3">
      <c r="A151" s="67"/>
      <c r="B151" s="68"/>
      <c r="C151" s="68"/>
      <c r="D151" s="68"/>
      <c r="E151" s="69"/>
    </row>
    <row r="152" spans="1:5" x14ac:dyDescent="0.3">
      <c r="A152" s="67"/>
      <c r="B152" s="68"/>
      <c r="C152" s="68"/>
      <c r="D152" s="68"/>
      <c r="E152" s="69"/>
    </row>
    <row r="153" spans="1:5" ht="15" thickBot="1" x14ac:dyDescent="0.35">
      <c r="A153" s="70"/>
      <c r="B153" s="71"/>
      <c r="C153" s="71"/>
      <c r="D153" s="71"/>
      <c r="E153" s="72"/>
    </row>
    <row r="154" spans="1:5" ht="15" thickBot="1" x14ac:dyDescent="0.35"/>
    <row r="155" spans="1:5" x14ac:dyDescent="0.3">
      <c r="A155" s="64" t="s">
        <v>60</v>
      </c>
      <c r="B155" s="65"/>
      <c r="C155" s="65"/>
      <c r="D155" s="65"/>
      <c r="E155" s="66"/>
    </row>
    <row r="156" spans="1:5" x14ac:dyDescent="0.3">
      <c r="A156" s="67"/>
      <c r="B156" s="68"/>
      <c r="C156" s="68"/>
      <c r="D156" s="68"/>
      <c r="E156" s="69"/>
    </row>
    <row r="157" spans="1:5" x14ac:dyDescent="0.3">
      <c r="A157" s="67"/>
      <c r="B157" s="68"/>
      <c r="C157" s="68"/>
      <c r="D157" s="68"/>
      <c r="E157" s="69"/>
    </row>
    <row r="158" spans="1:5" x14ac:dyDescent="0.3">
      <c r="A158" s="67"/>
      <c r="B158" s="68"/>
      <c r="C158" s="68"/>
      <c r="D158" s="68"/>
      <c r="E158" s="69"/>
    </row>
    <row r="159" spans="1:5" x14ac:dyDescent="0.3">
      <c r="A159" s="67"/>
      <c r="B159" s="68"/>
      <c r="C159" s="68"/>
      <c r="D159" s="68"/>
      <c r="E159" s="69"/>
    </row>
    <row r="160" spans="1:5" x14ac:dyDescent="0.3">
      <c r="A160" s="67"/>
      <c r="B160" s="68"/>
      <c r="C160" s="68"/>
      <c r="D160" s="68"/>
      <c r="E160" s="69"/>
    </row>
    <row r="161" spans="1:5" x14ac:dyDescent="0.3">
      <c r="A161" s="67"/>
      <c r="B161" s="68"/>
      <c r="C161" s="68"/>
      <c r="D161" s="68"/>
      <c r="E161" s="69"/>
    </row>
    <row r="162" spans="1:5" ht="14.4" customHeight="1" x14ac:dyDescent="0.3">
      <c r="A162" s="67"/>
      <c r="B162" s="68"/>
      <c r="C162" s="68"/>
      <c r="D162" s="68"/>
      <c r="E162" s="69"/>
    </row>
    <row r="163" spans="1:5" x14ac:dyDescent="0.3">
      <c r="A163" s="67"/>
      <c r="B163" s="68"/>
      <c r="C163" s="68"/>
      <c r="D163" s="68"/>
      <c r="E163" s="69"/>
    </row>
    <row r="164" spans="1:5" ht="15" thickBot="1" x14ac:dyDescent="0.35">
      <c r="A164" s="70"/>
      <c r="B164" s="71"/>
      <c r="C164" s="71"/>
      <c r="D164" s="71"/>
      <c r="E164" s="72"/>
    </row>
    <row r="165" spans="1:5" ht="15" thickBot="1" x14ac:dyDescent="0.35">
      <c r="A165" s="13"/>
      <c r="B165" s="13"/>
      <c r="C165" s="13"/>
      <c r="D165" s="13"/>
      <c r="E165" s="13"/>
    </row>
    <row r="166" spans="1:5" x14ac:dyDescent="0.3">
      <c r="A166" s="64" t="s">
        <v>132</v>
      </c>
      <c r="B166" s="65"/>
      <c r="C166" s="65"/>
      <c r="D166" s="65"/>
      <c r="E166" s="66"/>
    </row>
    <row r="167" spans="1:5" x14ac:dyDescent="0.3">
      <c r="A167" s="67"/>
      <c r="B167" s="68"/>
      <c r="C167" s="68"/>
      <c r="D167" s="68"/>
      <c r="E167" s="69"/>
    </row>
    <row r="168" spans="1:5" x14ac:dyDescent="0.3">
      <c r="A168" s="67"/>
      <c r="B168" s="68"/>
      <c r="C168" s="68"/>
      <c r="D168" s="68"/>
      <c r="E168" s="69"/>
    </row>
    <row r="169" spans="1:5" x14ac:dyDescent="0.3">
      <c r="A169" s="67"/>
      <c r="B169" s="68"/>
      <c r="C169" s="68"/>
      <c r="D169" s="68"/>
      <c r="E169" s="69"/>
    </row>
    <row r="170" spans="1:5" x14ac:dyDescent="0.3">
      <c r="A170" s="67"/>
      <c r="B170" s="68"/>
      <c r="C170" s="68"/>
      <c r="D170" s="68"/>
      <c r="E170" s="69"/>
    </row>
    <row r="171" spans="1:5" x14ac:dyDescent="0.3">
      <c r="A171" s="67"/>
      <c r="B171" s="68"/>
      <c r="C171" s="68"/>
      <c r="D171" s="68"/>
      <c r="E171" s="69"/>
    </row>
    <row r="172" spans="1:5" x14ac:dyDescent="0.3">
      <c r="A172" s="67"/>
      <c r="B172" s="68"/>
      <c r="C172" s="68"/>
      <c r="D172" s="68"/>
      <c r="E172" s="69"/>
    </row>
    <row r="173" spans="1:5" x14ac:dyDescent="0.3">
      <c r="A173" s="67"/>
      <c r="B173" s="68"/>
      <c r="C173" s="68"/>
      <c r="D173" s="68"/>
      <c r="E173" s="69"/>
    </row>
    <row r="174" spans="1:5" ht="14.4" customHeight="1" x14ac:dyDescent="0.3">
      <c r="A174" s="67"/>
      <c r="B174" s="68"/>
      <c r="C174" s="68"/>
      <c r="D174" s="68"/>
      <c r="E174" s="69"/>
    </row>
    <row r="175" spans="1:5" x14ac:dyDescent="0.3">
      <c r="A175" s="67"/>
      <c r="B175" s="68"/>
      <c r="C175" s="68"/>
      <c r="D175" s="68"/>
      <c r="E175" s="69"/>
    </row>
    <row r="176" spans="1:5" ht="15" thickBot="1" x14ac:dyDescent="0.35">
      <c r="A176" s="70"/>
      <c r="B176" s="71"/>
      <c r="C176" s="71"/>
      <c r="D176" s="71"/>
      <c r="E176" s="72"/>
    </row>
    <row r="177" spans="1:5" ht="15" thickBot="1" x14ac:dyDescent="0.35"/>
    <row r="178" spans="1:5" x14ac:dyDescent="0.3">
      <c r="A178" s="64" t="s">
        <v>72</v>
      </c>
      <c r="B178" s="65"/>
      <c r="C178" s="65"/>
      <c r="D178" s="65"/>
      <c r="E178" s="66"/>
    </row>
    <row r="179" spans="1:5" x14ac:dyDescent="0.3">
      <c r="A179" s="67"/>
      <c r="B179" s="68"/>
      <c r="C179" s="68"/>
      <c r="D179" s="68"/>
      <c r="E179" s="69"/>
    </row>
    <row r="180" spans="1:5" x14ac:dyDescent="0.3">
      <c r="A180" s="67"/>
      <c r="B180" s="68"/>
      <c r="C180" s="68"/>
      <c r="D180" s="68"/>
      <c r="E180" s="69"/>
    </row>
    <row r="181" spans="1:5" x14ac:dyDescent="0.3">
      <c r="A181" s="67"/>
      <c r="B181" s="68"/>
      <c r="C181" s="68"/>
      <c r="D181" s="68"/>
      <c r="E181" s="69"/>
    </row>
    <row r="182" spans="1:5" x14ac:dyDescent="0.3">
      <c r="A182" s="67"/>
      <c r="B182" s="68"/>
      <c r="C182" s="68"/>
      <c r="D182" s="68"/>
      <c r="E182" s="69"/>
    </row>
    <row r="183" spans="1:5" x14ac:dyDescent="0.3">
      <c r="A183" s="67"/>
      <c r="B183" s="68"/>
      <c r="C183" s="68"/>
      <c r="D183" s="68"/>
      <c r="E183" s="69"/>
    </row>
    <row r="184" spans="1:5" x14ac:dyDescent="0.3">
      <c r="A184" s="67"/>
      <c r="B184" s="68"/>
      <c r="C184" s="68"/>
      <c r="D184" s="68"/>
      <c r="E184" s="69"/>
    </row>
    <row r="185" spans="1:5" x14ac:dyDescent="0.3">
      <c r="A185" s="67"/>
      <c r="B185" s="68"/>
      <c r="C185" s="68"/>
      <c r="D185" s="68"/>
      <c r="E185" s="69"/>
    </row>
    <row r="186" spans="1:5" x14ac:dyDescent="0.3">
      <c r="A186" s="67"/>
      <c r="B186" s="68"/>
      <c r="C186" s="68"/>
      <c r="D186" s="68"/>
      <c r="E186" s="69"/>
    </row>
    <row r="187" spans="1:5" x14ac:dyDescent="0.3">
      <c r="A187" s="67"/>
      <c r="B187" s="68"/>
      <c r="C187" s="68"/>
      <c r="D187" s="68"/>
      <c r="E187" s="69"/>
    </row>
    <row r="188" spans="1:5" x14ac:dyDescent="0.3">
      <c r="A188" s="67"/>
      <c r="B188" s="68"/>
      <c r="C188" s="68"/>
      <c r="D188" s="68"/>
      <c r="E188" s="69"/>
    </row>
    <row r="189" spans="1:5" ht="14.4" customHeight="1" x14ac:dyDescent="0.3">
      <c r="A189" s="67"/>
      <c r="B189" s="68"/>
      <c r="C189" s="68"/>
      <c r="D189" s="68"/>
      <c r="E189" s="69"/>
    </row>
    <row r="190" spans="1:5" x14ac:dyDescent="0.3">
      <c r="A190" s="67"/>
      <c r="B190" s="68"/>
      <c r="C190" s="68"/>
      <c r="D190" s="68"/>
      <c r="E190" s="69"/>
    </row>
    <row r="191" spans="1:5" ht="15" thickBot="1" x14ac:dyDescent="0.35">
      <c r="A191" s="70"/>
      <c r="B191" s="71"/>
      <c r="C191" s="71"/>
      <c r="D191" s="71"/>
      <c r="E191" s="72"/>
    </row>
    <row r="192" spans="1:5" ht="15" thickBot="1" x14ac:dyDescent="0.35"/>
    <row r="193" spans="1:5" x14ac:dyDescent="0.3">
      <c r="A193" s="64" t="s">
        <v>75</v>
      </c>
      <c r="B193" s="65"/>
      <c r="C193" s="65"/>
      <c r="D193" s="65"/>
      <c r="E193" s="66"/>
    </row>
    <row r="194" spans="1:5" x14ac:dyDescent="0.3">
      <c r="A194" s="67"/>
      <c r="B194" s="68"/>
      <c r="C194" s="68"/>
      <c r="D194" s="68"/>
      <c r="E194" s="69"/>
    </row>
    <row r="195" spans="1:5" x14ac:dyDescent="0.3">
      <c r="A195" s="67"/>
      <c r="B195" s="68"/>
      <c r="C195" s="68"/>
      <c r="D195" s="68"/>
      <c r="E195" s="69"/>
    </row>
    <row r="196" spans="1:5" x14ac:dyDescent="0.3">
      <c r="A196" s="67"/>
      <c r="B196" s="68"/>
      <c r="C196" s="68"/>
      <c r="D196" s="68"/>
      <c r="E196" s="69"/>
    </row>
    <row r="197" spans="1:5" x14ac:dyDescent="0.3">
      <c r="A197" s="67"/>
      <c r="B197" s="68"/>
      <c r="C197" s="68"/>
      <c r="D197" s="68"/>
      <c r="E197" s="69"/>
    </row>
    <row r="198" spans="1:5" x14ac:dyDescent="0.3">
      <c r="A198" s="67"/>
      <c r="B198" s="68"/>
      <c r="C198" s="68"/>
      <c r="D198" s="68"/>
      <c r="E198" s="69"/>
    </row>
    <row r="199" spans="1:5" x14ac:dyDescent="0.3">
      <c r="A199" s="67"/>
      <c r="B199" s="68"/>
      <c r="C199" s="68"/>
      <c r="D199" s="68"/>
      <c r="E199" s="69"/>
    </row>
    <row r="200" spans="1:5" ht="14.4" customHeight="1" x14ac:dyDescent="0.3">
      <c r="A200" s="67"/>
      <c r="B200" s="68"/>
      <c r="C200" s="68"/>
      <c r="D200" s="68"/>
      <c r="E200" s="69"/>
    </row>
    <row r="201" spans="1:5" x14ac:dyDescent="0.3">
      <c r="A201" s="67"/>
      <c r="B201" s="68"/>
      <c r="C201" s="68"/>
      <c r="D201" s="68"/>
      <c r="E201" s="69"/>
    </row>
    <row r="202" spans="1:5" ht="15" thickBot="1" x14ac:dyDescent="0.35">
      <c r="A202" s="70"/>
      <c r="B202" s="71"/>
      <c r="C202" s="71"/>
      <c r="D202" s="71"/>
      <c r="E202" s="72"/>
    </row>
    <row r="203" spans="1:5" ht="15" thickBot="1" x14ac:dyDescent="0.35">
      <c r="A203" s="13"/>
      <c r="B203" s="13"/>
      <c r="C203" s="13"/>
      <c r="D203" s="13"/>
      <c r="E203" s="13"/>
    </row>
    <row r="204" spans="1:5" x14ac:dyDescent="0.3">
      <c r="A204" s="64" t="s">
        <v>114</v>
      </c>
      <c r="B204" s="65"/>
      <c r="C204" s="65"/>
      <c r="D204" s="65"/>
      <c r="E204" s="66"/>
    </row>
    <row r="205" spans="1:5" x14ac:dyDescent="0.3">
      <c r="A205" s="67"/>
      <c r="B205" s="68"/>
      <c r="C205" s="68"/>
      <c r="D205" s="68"/>
      <c r="E205" s="69"/>
    </row>
    <row r="206" spans="1:5" ht="15" thickBot="1" x14ac:dyDescent="0.35">
      <c r="A206" s="70"/>
      <c r="B206" s="71"/>
      <c r="C206" s="71"/>
      <c r="D206" s="71"/>
      <c r="E206" s="72"/>
    </row>
    <row r="207" spans="1:5" ht="15" thickBot="1" x14ac:dyDescent="0.35"/>
    <row r="208" spans="1:5" ht="14.4" customHeight="1" x14ac:dyDescent="0.3">
      <c r="A208" s="64" t="s">
        <v>131</v>
      </c>
      <c r="B208" s="65"/>
      <c r="C208" s="65"/>
      <c r="D208" s="65"/>
      <c r="E208" s="66"/>
    </row>
    <row r="209" spans="1:5" x14ac:dyDescent="0.3">
      <c r="A209" s="67"/>
      <c r="B209" s="68"/>
      <c r="C209" s="68"/>
      <c r="D209" s="68"/>
      <c r="E209" s="69"/>
    </row>
    <row r="210" spans="1:5" x14ac:dyDescent="0.3">
      <c r="A210" s="67"/>
      <c r="B210" s="68"/>
      <c r="C210" s="68"/>
      <c r="D210" s="68"/>
      <c r="E210" s="69"/>
    </row>
    <row r="211" spans="1:5" x14ac:dyDescent="0.3">
      <c r="A211" s="67"/>
      <c r="B211" s="68"/>
      <c r="C211" s="68"/>
      <c r="D211" s="68"/>
      <c r="E211" s="69"/>
    </row>
    <row r="212" spans="1:5" x14ac:dyDescent="0.3">
      <c r="A212" s="67"/>
      <c r="B212" s="68"/>
      <c r="C212" s="68"/>
      <c r="D212" s="68"/>
      <c r="E212" s="69"/>
    </row>
    <row r="213" spans="1:5" x14ac:dyDescent="0.3">
      <c r="A213" s="67"/>
      <c r="B213" s="68"/>
      <c r="C213" s="68"/>
      <c r="D213" s="68"/>
      <c r="E213" s="69"/>
    </row>
    <row r="214" spans="1:5" x14ac:dyDescent="0.3">
      <c r="A214" s="67"/>
      <c r="B214" s="68"/>
      <c r="C214" s="68"/>
      <c r="D214" s="68"/>
      <c r="E214" s="69"/>
    </row>
    <row r="215" spans="1:5" x14ac:dyDescent="0.3">
      <c r="A215" s="67"/>
      <c r="B215" s="68"/>
      <c r="C215" s="68"/>
      <c r="D215" s="68"/>
      <c r="E215" s="69"/>
    </row>
    <row r="216" spans="1:5" x14ac:dyDescent="0.3">
      <c r="A216" s="67"/>
      <c r="B216" s="68"/>
      <c r="C216" s="68"/>
      <c r="D216" s="68"/>
      <c r="E216" s="69"/>
    </row>
    <row r="217" spans="1:5" ht="15" thickBot="1" x14ac:dyDescent="0.35">
      <c r="A217" s="70"/>
      <c r="B217" s="71"/>
      <c r="C217" s="71"/>
      <c r="D217" s="71"/>
      <c r="E217" s="72"/>
    </row>
    <row r="218" spans="1:5" ht="15" thickBot="1" x14ac:dyDescent="0.35"/>
    <row r="219" spans="1:5" ht="14.4" customHeight="1" x14ac:dyDescent="0.3">
      <c r="A219" s="64" t="s">
        <v>130</v>
      </c>
      <c r="B219" s="65"/>
      <c r="C219" s="65"/>
      <c r="D219" s="65"/>
      <c r="E219" s="66"/>
    </row>
    <row r="220" spans="1:5" x14ac:dyDescent="0.3">
      <c r="A220" s="67"/>
      <c r="B220" s="68"/>
      <c r="C220" s="68"/>
      <c r="D220" s="68"/>
      <c r="E220" s="69"/>
    </row>
    <row r="221" spans="1:5" x14ac:dyDescent="0.3">
      <c r="A221" s="67"/>
      <c r="B221" s="68"/>
      <c r="C221" s="68"/>
      <c r="D221" s="68"/>
      <c r="E221" s="69"/>
    </row>
    <row r="222" spans="1:5" x14ac:dyDescent="0.3">
      <c r="A222" s="67"/>
      <c r="B222" s="68"/>
      <c r="C222" s="68"/>
      <c r="D222" s="68"/>
      <c r="E222" s="69"/>
    </row>
    <row r="223" spans="1:5" x14ac:dyDescent="0.3">
      <c r="A223" s="67"/>
      <c r="B223" s="68"/>
      <c r="C223" s="68"/>
      <c r="D223" s="68"/>
      <c r="E223" s="69"/>
    </row>
    <row r="224" spans="1:5" x14ac:dyDescent="0.3">
      <c r="A224" s="67"/>
      <c r="B224" s="68"/>
      <c r="C224" s="68"/>
      <c r="D224" s="68"/>
      <c r="E224" s="69"/>
    </row>
    <row r="225" spans="1:5" x14ac:dyDescent="0.3">
      <c r="A225" s="67"/>
      <c r="B225" s="68"/>
      <c r="C225" s="68"/>
      <c r="D225" s="68"/>
      <c r="E225" s="69"/>
    </row>
    <row r="226" spans="1:5" ht="15" thickBot="1" x14ac:dyDescent="0.35">
      <c r="A226" s="70"/>
      <c r="B226" s="71"/>
      <c r="C226" s="71"/>
      <c r="D226" s="71"/>
      <c r="E226" s="72"/>
    </row>
    <row r="227" spans="1:5" ht="15" thickBot="1" x14ac:dyDescent="0.35"/>
    <row r="228" spans="1:5" ht="14.4" customHeight="1" x14ac:dyDescent="0.3">
      <c r="A228" s="64" t="s">
        <v>137</v>
      </c>
      <c r="B228" s="65"/>
      <c r="C228" s="65"/>
      <c r="D228" s="65"/>
      <c r="E228" s="66"/>
    </row>
    <row r="229" spans="1:5" x14ac:dyDescent="0.3">
      <c r="A229" s="67"/>
      <c r="B229" s="68"/>
      <c r="C229" s="68"/>
      <c r="D229" s="68"/>
      <c r="E229" s="69"/>
    </row>
    <row r="230" spans="1:5" x14ac:dyDescent="0.3">
      <c r="A230" s="67"/>
      <c r="B230" s="68"/>
      <c r="C230" s="68"/>
      <c r="D230" s="68"/>
      <c r="E230" s="69"/>
    </row>
    <row r="231" spans="1:5" x14ac:dyDescent="0.3">
      <c r="A231" s="67"/>
      <c r="B231" s="68"/>
      <c r="C231" s="68"/>
      <c r="D231" s="68"/>
      <c r="E231" s="69"/>
    </row>
    <row r="232" spans="1:5" ht="15" thickBot="1" x14ac:dyDescent="0.35">
      <c r="A232" s="70"/>
      <c r="B232" s="71"/>
      <c r="C232" s="71"/>
      <c r="D232" s="71"/>
      <c r="E232" s="72"/>
    </row>
  </sheetData>
  <mergeCells count="43">
    <mergeCell ref="A228:E232"/>
    <mergeCell ref="A138:E141"/>
    <mergeCell ref="A143:E147"/>
    <mergeCell ref="A204:E206"/>
    <mergeCell ref="A149:E153"/>
    <mergeCell ref="A155:E164"/>
    <mergeCell ref="A219:E226"/>
    <mergeCell ref="A208:E217"/>
    <mergeCell ref="A166:E176"/>
    <mergeCell ref="A178:E191"/>
    <mergeCell ref="A193:E202"/>
    <mergeCell ref="A2:A4"/>
    <mergeCell ref="B2:B4"/>
    <mergeCell ref="A106:E112"/>
    <mergeCell ref="A32:E34"/>
    <mergeCell ref="A114:E118"/>
    <mergeCell ref="M27:M33"/>
    <mergeCell ref="A40:E42"/>
    <mergeCell ref="A44:E52"/>
    <mergeCell ref="A54:E56"/>
    <mergeCell ref="A58:E61"/>
    <mergeCell ref="K38:K39"/>
    <mergeCell ref="I27:I33"/>
    <mergeCell ref="G27:G33"/>
    <mergeCell ref="J27:J33"/>
    <mergeCell ref="K27:K33"/>
    <mergeCell ref="J42:J51"/>
    <mergeCell ref="K42:K51"/>
    <mergeCell ref="J40:J41"/>
    <mergeCell ref="K40:K41"/>
    <mergeCell ref="J38:J39"/>
    <mergeCell ref="I42:I51"/>
    <mergeCell ref="A120:E125"/>
    <mergeCell ref="A127:E136"/>
    <mergeCell ref="I40:I41"/>
    <mergeCell ref="I38:I39"/>
    <mergeCell ref="A63:E75"/>
    <mergeCell ref="A77:E83"/>
    <mergeCell ref="A102:E104"/>
    <mergeCell ref="A36:E38"/>
    <mergeCell ref="A85:E88"/>
    <mergeCell ref="A90:E93"/>
    <mergeCell ref="A95:E100"/>
  </mergeCells>
  <conditionalFormatting sqref="B2:B4">
    <cfRule type="expression" dxfId="1" priority="2">
      <formula>$B$2&lt;&gt;"On"</formula>
    </cfRule>
    <cfRule type="expression" dxfId="0" priority="1">
      <formula>$B$2="On"</formula>
    </cfRule>
  </conditionalFormatting>
  <pageMargins left="0.7" right="0.7" top="0.75" bottom="0.75" header="0.3" footer="0.3"/>
  <pageSetup paperSize="9" orientation="portrait"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Button_Simu">
                <anchor moveWithCells="1" sizeWithCells="1">
                  <from>
                    <xdr:col>3</xdr:col>
                    <xdr:colOff>68580</xdr:colOff>
                    <xdr:row>0</xdr:row>
                    <xdr:rowOff>106680</xdr:rowOff>
                  </from>
                  <to>
                    <xdr:col>4</xdr:col>
                    <xdr:colOff>1623060</xdr:colOff>
                    <xdr:row>4</xdr:row>
                    <xdr:rowOff>99060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Exfiltrated_Romulan_Tech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Sinyangwe</dc:creator>
  <cp:lastModifiedBy>Michael Sinyangwe</cp:lastModifiedBy>
  <dcterms:created xsi:type="dcterms:W3CDTF">2015-06-05T18:17:20Z</dcterms:created>
  <dcterms:modified xsi:type="dcterms:W3CDTF">2026-04-03T01:00:33Z</dcterms:modified>
</cp:coreProperties>
</file>