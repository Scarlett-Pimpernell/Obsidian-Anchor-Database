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0463E35F-0675-44FE-B146-431DD485F9DA}"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<sst xmlns="http://schemas.openxmlformats.org/spreadsheetml/2006/main" count="264" uniqueCount="145">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</sst>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4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128</v>
      </c>
      <c r="B2" s="76" t="s">
        <v>138</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133</v>
      </c>
      <c r="C7" s="38" t="s">
        <v>140</v>
      </c>
      <c r="D7" s="57" t="s">
        <v>117</v>
      </c>
      <c r="E7" s="62" t="s">
        <v>135</v>
      </c>
      <c r="G7" s="1"/>
      <c r="H7" s="31" t="s">
        <v>40</v>
      </c>
      <c r="I7" s="14">
        <v>5</v>
      </c>
      <c r="J7" s="5" t="s">
        <v>84</v>
      </c>
      <c r="K7" s="26" t="s">
        <v>87</v>
      </c>
      <c r="L7" s="31" t="s">
        <v>40</v>
      </c>
    </row>
    <row r="8" spans="1:12" ht="15" thickBot="1" x14ac:dyDescent="0.35">
      <c r="A8" s="58" t="s">
        <v>118</v>
      </c>
      <c r="B8" s="63" t="s">
        <v>134</v>
      </c>
      <c r="C8" s="38" t="s">
        <v>141</v>
      </c>
      <c r="D8" s="58" t="s">
        <v>118</v>
      </c>
      <c r="E8" s="63" t="s">
        <v>136</v>
      </c>
      <c r="G8" s="1"/>
      <c r="H8" s="31" t="s">
        <v>42</v>
      </c>
      <c r="I8" s="14">
        <v>6</v>
      </c>
      <c r="J8" s="5" t="s">
        <v>85</v>
      </c>
      <c r="K8" s="26" t="s">
        <v>86</v>
      </c>
      <c r="L8" s="31" t="s">
        <v>42</v>
      </c>
    </row>
    <row r="9" spans="1:12" x14ac:dyDescent="0.3">
      <c r="C9" s="38" t="s">
        <v>142</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127257884</v>
      </c>
      <c r="C12" s="37" t="s">
        <v>139</v>
      </c>
      <c r="D12" s="61" t="s">
        <v>1</v>
      </c>
      <c r="E12" s="18">
        <v>64637304</v>
      </c>
      <c r="F12" s="1"/>
      <c r="G12" s="11"/>
      <c r="H12" s="31" t="s">
        <v>14</v>
      </c>
      <c r="I12" s="14">
        <v>10</v>
      </c>
      <c r="J12" s="6" t="s">
        <v>91</v>
      </c>
      <c r="K12" s="6" t="s">
        <v>91</v>
      </c>
      <c r="L12" s="31" t="s">
        <v>14</v>
      </c>
    </row>
    <row r="13" spans="1:12" ht="15" thickBot="1" x14ac:dyDescent="0.35">
      <c r="A13" s="46" t="s">
        <v>2</v>
      </c>
      <c r="B13" s="19">
        <v>769635676</v>
      </c>
      <c r="C13" s="37" t="s">
        <v>111</v>
      </c>
      <c r="D13" s="46" t="s">
        <v>2</v>
      </c>
      <c r="E13" s="19">
        <v>565468609</v>
      </c>
      <c r="F13" s="1"/>
      <c r="G13" s="11"/>
      <c r="H13" s="31" t="s">
        <v>40</v>
      </c>
      <c r="I13" s="14">
        <v>11</v>
      </c>
      <c r="J13" s="4" t="s">
        <v>92</v>
      </c>
      <c r="K13" s="4" t="s">
        <v>92</v>
      </c>
      <c r="L13" s="31" t="s">
        <v>40</v>
      </c>
    </row>
    <row r="14" spans="1:12" ht="15" thickBot="1" x14ac:dyDescent="0.35">
      <c r="A14" s="45" t="s">
        <v>16</v>
      </c>
      <c r="B14" s="18">
        <v>741855322</v>
      </c>
      <c r="C14" s="37" t="s">
        <v>112</v>
      </c>
      <c r="D14" s="45" t="s">
        <v>16</v>
      </c>
      <c r="E14" s="18">
        <v>92942954</v>
      </c>
      <c r="F14" s="1"/>
      <c r="G14" s="12"/>
      <c r="H14" s="32" t="s">
        <v>39</v>
      </c>
      <c r="I14" s="14">
        <v>12</v>
      </c>
      <c r="J14" s="7" t="s">
        <v>93</v>
      </c>
      <c r="K14" s="7" t="s">
        <v>93</v>
      </c>
      <c r="L14" s="32" t="s">
        <v>39</v>
      </c>
    </row>
    <row r="15" spans="1:12" ht="15" thickBot="1" x14ac:dyDescent="0.35">
      <c r="A15" s="43" t="s">
        <v>17</v>
      </c>
      <c r="B15" s="39">
        <f>IF((B14-B16)&lt;0,(999999999+(B14-B16)),(B14-B16))</f>
        <v>517775305</v>
      </c>
      <c r="C15" s="37" t="s">
        <v>113</v>
      </c>
      <c r="D15" s="43" t="s">
        <v>17</v>
      </c>
      <c r="E15" s="39">
        <f>IF((E14-E16)&lt;0,(999999999+(E14-E16)),(E14-E16))</f>
        <v>865822793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357622207</v>
      </c>
      <c r="C18" s="17" t="s">
        <v>28</v>
      </c>
      <c r="D18" s="16" t="s">
        <v>30</v>
      </c>
      <c r="E18" s="20">
        <f>IF((E12-E13)&lt;0,(999999999+(E12-E13)),(E12-E13))</f>
        <v>499168694</v>
      </c>
      <c r="F18" s="1"/>
      <c r="H18" s="31" t="s">
        <v>14</v>
      </c>
      <c r="I18" s="14">
        <v>16</v>
      </c>
      <c r="J18" s="8"/>
      <c r="K18" s="23" t="s">
        <v>97</v>
      </c>
      <c r="L18" s="31" t="s">
        <v>14</v>
      </c>
    </row>
    <row r="19" spans="1:13" x14ac:dyDescent="0.3">
      <c r="C19" s="21">
        <f>IF((B18-E18)&lt;0,(999999999+(B18-E18)),(B18-E18))</f>
        <v>858453512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369944512</v>
      </c>
      <c r="C23" s="38" t="s">
        <v>70</v>
      </c>
      <c r="D23" s="50" t="s">
        <v>33</v>
      </c>
      <c r="E23" s="54">
        <f>IF((B23+(E14+E13))&gt;(999999999*2),((B23+(E14+E13))-(999999999*2)),IF((B23+(E14+E13))&gt;999999999,((B23+(E14+E13))-999999999),(B23+(E14+E13))))</f>
        <v>28356076</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383322886</v>
      </c>
      <c r="C24" s="37" t="s">
        <v>68</v>
      </c>
      <c r="D24" s="51" t="s">
        <v>34</v>
      </c>
      <c r="E24" s="55">
        <f>IF((B24-(E15+E12))&lt;0,IF((E15+E12)&gt;999999999,((999999999*2)+(B24-(E15+E12))),(999999999+(B24-(E15+E12)))),(B24-(E15+E12)))</f>
        <v>452862788</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115</v>
      </c>
      <c r="K27" s="90" t="s">
        <v>116</v>
      </c>
      <c r="L27" s="30" t="s">
        <v>48</v>
      </c>
      <c r="M27" s="79" t="s">
        <v>40</v>
      </c>
    </row>
    <row r="28" spans="1:13" ht="14.4" customHeight="1" thickBot="1" x14ac:dyDescent="0.35">
      <c r="A28" t="s">
        <v>126</v>
      </c>
      <c r="C28" s="38" t="s">
        <v>123</v>
      </c>
      <c r="D28" t="s">
        <v>127</v>
      </c>
      <c r="F28" s="11"/>
      <c r="G28" s="80"/>
      <c r="H28" s="31" t="s">
        <v>14</v>
      </c>
      <c r="I28" s="85"/>
      <c r="J28" s="88"/>
      <c r="K28" s="91"/>
      <c r="L28" s="31" t="s">
        <v>14</v>
      </c>
      <c r="M28" s="80"/>
    </row>
    <row r="29" spans="1:13" ht="14.4" customHeight="1" thickBot="1" x14ac:dyDescent="0.35">
      <c r="A29" s="59" t="s">
        <v>117</v>
      </c>
      <c r="B29" s="62" t="s">
        <v>135</v>
      </c>
      <c r="C29" s="38" t="s">
        <v>124</v>
      </c>
      <c r="D29" s="59" t="s">
        <v>117</v>
      </c>
      <c r="E29" s="62" t="s">
        <v>133</v>
      </c>
      <c r="F29" s="11"/>
      <c r="G29" s="80"/>
      <c r="H29" s="31" t="s">
        <v>15</v>
      </c>
      <c r="I29" s="85"/>
      <c r="J29" s="88"/>
      <c r="K29" s="91"/>
      <c r="L29" s="31" t="s">
        <v>15</v>
      </c>
      <c r="M29" s="80"/>
    </row>
    <row r="30" spans="1:13" ht="15" thickBot="1" x14ac:dyDescent="0.35">
      <c r="A30" s="60" t="s">
        <v>118</v>
      </c>
      <c r="B30" s="62" t="s">
        <v>136</v>
      </c>
      <c r="C30" s="38" t="s">
        <v>125</v>
      </c>
      <c r="D30" s="60" t="s">
        <v>118</v>
      </c>
      <c r="E30" s="62" t="s">
        <v>134</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137</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143</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144</v>
      </c>
      <c r="B239" s="65"/>
      <c r="C239" s="65"/>
      <c r="D239" s="65"/>
      <c r="E239" s="66"/>
    </row>
    <row r="240" spans="1:5" x14ac:dyDescent="0.3">
      <c r="A240" s="67"/>
      <c r="B240" s="68"/>
      <c r="C240" s="68"/>
      <c r="D240" s="68"/>
      <c r="E240" s="69"/>
    </row>
    <row r="241" spans="1:5" ht="15" thickBot="1" x14ac:dyDescent="0.35">
      <c r="A241" s="70"/>
      <c r="B241" s="71"/>
      <c r="C241" s="71"/>
      <c r="D241" s="71"/>
      <c r="E241" s="72"/>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sheetData>
  <mergeCells count="45">
    <mergeCell ref="A208:E217"/>
    <mergeCell ref="A166:E176"/>
    <mergeCell ref="A178:E191"/>
    <mergeCell ref="A193:E202"/>
    <mergeCell ref="I38:I39"/>
    <mergeCell ref="A63:E75"/>
    <mergeCell ref="A77:E83"/>
    <mergeCell ref="A102:E104"/>
    <mergeCell ref="A36:E38"/>
    <mergeCell ref="A85:E88"/>
    <mergeCell ref="A90:E93"/>
    <mergeCell ref="A95:E100"/>
    <mergeCell ref="I40:I41"/>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 ref="A219:E226"/>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2026-04-08T20:18:17Z</dcterms:modified>
</cp:coreProperties>
</file>