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5312EA3F-8D94-4EE4-A6CF-525E7D4CC5CF}"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s="1"/>
  <c r="E26" i="1" s="1"/>
  <c r="B25" i="1" l="1"/>
  <c r="B26" i="1" s="1"/>
</calcChain>
</file>

<file path=xl/sharedStrings.xml><?xml version="1.0" encoding="utf-8"?>
<sst xmlns="http://schemas.openxmlformats.org/spreadsheetml/2006/main" count="263" uniqueCount="144">
  <si>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</si>
  <si>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</si>
  <si>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</si>
  <si>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</si>
  <si>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</si>
  <si>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</si>
  <si>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</si>
  <si>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</si>
  <si>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</si>
  <si>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</si>
  <si>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</si>
  <si>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</si>
  <si>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</si>
  <si>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</si>
  <si>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</si>
  <si>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</si>
  <si>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</si>
  <si>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</si>
  <si>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</si>
  <si>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</si>
  <si>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</si>
  <si>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</si>
  <si>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</si>
  <si>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</si>
  <si>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</si>
  <si>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</si>
  <si>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</si>
  <si>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</si>
  <si>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</si>
  <si>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</si>
  <si>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</si>
  <si>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</si>
  <si>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</si>
  <si>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</si>
  <si>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</si>
  <si>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</si>
  <si>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</si>
  <si>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</si>
  <si>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</si>
  <si>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</si>
  <si>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</si>
  <si>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</si>
  <si>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</si>
  <si>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</si>
  <si>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</si>
  <si>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</si>
  <si>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</si>
  <si>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</si>
  <si>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</si>
  <si>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</si>
  <si>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</si>
  <si>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</si>
  <si>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</si>
  <si>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</si>
  <si>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</si>
  <si>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</si>
  <si>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</si>
  <si>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</si>
  <si>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</si>
  <si>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</si>
  <si>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</si>
  <si>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</si>
  <si>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</si>
  <si>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</si>
  <si>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</si>
  <si>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</si>
  <si>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</si>
  <si>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</si>
  <si>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</si>
  <si>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</si>
  <si>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</si>
  <si>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</si>
  <si>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</si>
  <si>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</si>
  <si>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</si>
  <si>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</si>
  <si>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</si>
  <si>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</si>
  <si>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</si>
  <si>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</si>
  <si>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</si>
  <si>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</si>
  <si>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</si>
  <si>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</si>
  <si>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</si>
  <si>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</si>
  <si>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</si>
  <si>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</si>
  <si>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</si>
  <si>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</si>
  <si>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</si>
  <si>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</si>
  <si>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</si>
  <si>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</si>
  <si>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</si>
  <si>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</si>
  <si>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</si>
  <si>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</si>
  <si>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</si>
  <si>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</si>
  <si>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</si>
  <si>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</si>
  <si>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</si>
  <si>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</si>
  <si>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</si>
  <si>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</si>
  <si>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</si>
  <si>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</si>
  <si>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</si>
  <si>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</si>
  <si>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</si>
  <si>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</si>
  <si>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</si>
  <si>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</si>
  <si>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</si>
  <si>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</si>
  <si>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</si>
  <si>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</si>
  <si>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</si>
  <si>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</si>
  <si>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</si>
  <si>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</si>
  <si>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</si>
  <si>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</si>
  <si>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</si>
  <si>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</si>
  <si>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</si>
  <si>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</si>
  <si>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</si>
  <si>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</si>
  <si>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</si>
  <si>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</si>
  <si>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</si>
  <si>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79135147074077197004193207180012105219201095244221014241092133195014150119076158165067071211209150250231058177249062136027254172004146025026203072012075097076241249102071041041164104105181083161053047148021116230066199096074234160159109025143176232212006138233109172128130118090103069014062249015099093124040121065160138040238166129099027199117191151212005053019027084033000136167138210021049172115091038179236135023192102117125053084024150043236025113069222191069171065023008082201076060122065087011123052220150192236084138020161104244029235158088038122056252033007088139234137103215210171183253086126105177045107138207137109129058157124173225094077074038135057148092222121048174190156199041205051243017016201096118030029044012182135142055119190191101229189022161181004110102070250204177106187070091110240031164088027047020110244138126247055096101072128035131245142231167112176016192178126039057083199013132192203083247204171230222106031242203177102004043042129103027070163216126048228095082196055</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</si>
  <si>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</si>
  <si>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53152195182175193066140129144072106089247132148118008096035166039050095024156178112107085178054011225011117188192209053119220210104117089063205138137159022181066015070244083165092094083055054107157061174150153020011039063101148073212228134098001064041164249079061223033145154155176216025100209068172101212110212056186228055249245221133165116040163156217093013128014095115076246003165156135007182080249074093082090060151178068146147252237063206196104160125127034246045150173028165187198110021127146015105030037080252153070106119016116111240069044129087130101066017163093139224107151097015028037037193067035011176215131203250133017159084071173102098052222038102155139185031083002199234076057242048106092082249147134034228008201183062239119184101059153140117165195017040025013139243057088226122059216017034245212209253061168159247107014223041063154093134233139244194103192146113012010092106093160046110040247070015204180064201221250069118232234127225145107208185227039197169232212198197120187143042079</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</si>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</sst>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6">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35" xfId="0" applyBorder="1" applyAlignment="1">
      <alignment horizontal="left" vertical="top" wrapText="1"/>
    </xf>
    <xf numFmtId="0" fontId="0" fillId="0" borderId="0" xfId="0" applyBorder="1" applyAlignment="1">
      <alignment horizontal="center" vertical="center"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37"/>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73" t="s">
        <v>128</v>
      </c>
      <c r="B2" s="76" t="s">
        <v>138</v>
      </c>
      <c r="G2" s="1"/>
      <c r="H2" s="1"/>
      <c r="I2" s="2" t="s">
        <v>4</v>
      </c>
      <c r="J2" s="2" t="s">
        <v>5</v>
      </c>
      <c r="K2" s="2" t="s">
        <v>6</v>
      </c>
    </row>
    <row r="3" spans="1:12" x14ac:dyDescent="0.3">
      <c r="A3" s="74"/>
      <c r="B3" s="77"/>
      <c r="G3" s="1"/>
      <c r="H3" s="30" t="s">
        <v>14</v>
      </c>
      <c r="I3" s="14">
        <v>1</v>
      </c>
      <c r="J3" s="3" t="s">
        <v>76</v>
      </c>
      <c r="K3" s="23" t="s">
        <v>78</v>
      </c>
      <c r="L3" s="30" t="s">
        <v>14</v>
      </c>
    </row>
    <row r="4" spans="1:12" ht="15" thickBot="1" x14ac:dyDescent="0.35">
      <c r="A4" s="75"/>
      <c r="B4" s="78"/>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133</v>
      </c>
      <c r="C7" s="38" t="s">
        <v>140</v>
      </c>
      <c r="D7" s="57" t="s">
        <v>117</v>
      </c>
      <c r="E7" s="62" t="s">
        <v>135</v>
      </c>
      <c r="G7" s="1"/>
      <c r="H7" s="31" t="s">
        <v>40</v>
      </c>
      <c r="I7" s="14">
        <v>5</v>
      </c>
      <c r="J7" s="5" t="s">
        <v>84</v>
      </c>
      <c r="K7" s="26" t="s">
        <v>87</v>
      </c>
      <c r="L7" s="31" t="s">
        <v>40</v>
      </c>
    </row>
    <row r="8" spans="1:12" ht="15" thickBot="1" x14ac:dyDescent="0.35">
      <c r="A8" s="58" t="s">
        <v>118</v>
      </c>
      <c r="B8" s="63" t="s">
        <v>134</v>
      </c>
      <c r="C8" s="38" t="s">
        <v>141</v>
      </c>
      <c r="D8" s="58" t="s">
        <v>118</v>
      </c>
      <c r="E8" s="63" t="s">
        <v>136</v>
      </c>
      <c r="G8" s="1"/>
      <c r="H8" s="31" t="s">
        <v>42</v>
      </c>
      <c r="I8" s="14">
        <v>6</v>
      </c>
      <c r="J8" s="5" t="s">
        <v>85</v>
      </c>
      <c r="K8" s="26" t="s">
        <v>86</v>
      </c>
      <c r="L8" s="31" t="s">
        <v>42</v>
      </c>
    </row>
    <row r="9" spans="1:12" x14ac:dyDescent="0.3">
      <c r="C9" s="38" t="s">
        <v>142</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498077213</v>
      </c>
      <c r="C12" s="37" t="s">
        <v>139</v>
      </c>
      <c r="D12" s="61" t="s">
        <v>1</v>
      </c>
      <c r="E12" s="18">
        <v>555200933</v>
      </c>
      <c r="F12" s="1"/>
      <c r="G12" s="11"/>
      <c r="H12" s="31" t="s">
        <v>14</v>
      </c>
      <c r="I12" s="14">
        <v>10</v>
      </c>
      <c r="J12" s="6" t="s">
        <v>91</v>
      </c>
      <c r="K12" s="6" t="s">
        <v>91</v>
      </c>
      <c r="L12" s="31" t="s">
        <v>14</v>
      </c>
    </row>
    <row r="13" spans="1:12" ht="15" thickBot="1" x14ac:dyDescent="0.35">
      <c r="A13" s="46" t="s">
        <v>2</v>
      </c>
      <c r="B13" s="19">
        <v>833203076</v>
      </c>
      <c r="C13" s="37" t="s">
        <v>111</v>
      </c>
      <c r="D13" s="46" t="s">
        <v>2</v>
      </c>
      <c r="E13" s="19">
        <v>91092169</v>
      </c>
      <c r="F13" s="1"/>
      <c r="G13" s="11"/>
      <c r="H13" s="31" t="s">
        <v>40</v>
      </c>
      <c r="I13" s="14">
        <v>11</v>
      </c>
      <c r="J13" s="4" t="s">
        <v>92</v>
      </c>
      <c r="K13" s="4" t="s">
        <v>92</v>
      </c>
      <c r="L13" s="31" t="s">
        <v>40</v>
      </c>
    </row>
    <row r="14" spans="1:12" ht="15" thickBot="1" x14ac:dyDescent="0.35">
      <c r="A14" s="45" t="s">
        <v>16</v>
      </c>
      <c r="B14" s="18">
        <v>273076951</v>
      </c>
      <c r="C14" s="37" t="s">
        <v>112</v>
      </c>
      <c r="D14" s="45" t="s">
        <v>16</v>
      </c>
      <c r="E14" s="18">
        <v>774128912</v>
      </c>
      <c r="F14" s="1"/>
      <c r="G14" s="12"/>
      <c r="H14" s="32" t="s">
        <v>39</v>
      </c>
      <c r="I14" s="14">
        <v>12</v>
      </c>
      <c r="J14" s="7" t="s">
        <v>93</v>
      </c>
      <c r="K14" s="7" t="s">
        <v>93</v>
      </c>
      <c r="L14" s="32" t="s">
        <v>39</v>
      </c>
    </row>
    <row r="15" spans="1:12" ht="15" thickBot="1" x14ac:dyDescent="0.35">
      <c r="A15" s="43" t="s">
        <v>17</v>
      </c>
      <c r="B15" s="39">
        <f>IF((B14-B16)&lt;0,(999999999+(B14-B16)),(B14-B16))</f>
        <v>48996934</v>
      </c>
      <c r="C15" s="37" t="s">
        <v>113</v>
      </c>
      <c r="D15" s="43" t="s">
        <v>17</v>
      </c>
      <c r="E15" s="39">
        <f>IF((E14-E16)&lt;0,(999999999+(E14-E16)),(E14-E16))</f>
        <v>547008752</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97</v>
      </c>
      <c r="L18" s="31" t="s">
        <v>14</v>
      </c>
    </row>
    <row r="19" spans="1:13" x14ac:dyDescent="0.3">
      <c r="C19" s="21">
        <f>IF((B18-E18)&lt;0,(999999999+(B18-E18)),(B18-E18))</f>
        <v>200765372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307045400</v>
      </c>
      <c r="C23" s="38" t="s">
        <v>70</v>
      </c>
      <c r="D23" s="50" t="s">
        <v>33</v>
      </c>
      <c r="E23" s="54">
        <f>IF((B23+(E14+E13))&gt;(999999999*2),((B23+(E14+E13))-(999999999*2)),IF((B23+(E14+E13))&gt;999999999,((B23+(E14+E13))-999999999),(B23+(E14+E13))))</f>
        <v>172266482</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625192334</v>
      </c>
      <c r="C24" s="37" t="s">
        <v>68</v>
      </c>
      <c r="D24" s="51" t="s">
        <v>34</v>
      </c>
      <c r="E24" s="55">
        <f>IF((B24-(E15+E12))&lt;0,IF((E15+E12)&gt;999999999,((999999999*2)+(B24-(E15+E12))),(999999999+(B24-(E15+E12)))),(B24-(E15+E12)))</f>
        <v>1522982647</v>
      </c>
      <c r="F24" s="11"/>
      <c r="G24" s="11"/>
      <c r="H24" s="31" t="s">
        <v>39</v>
      </c>
      <c r="I24" s="14">
        <v>22</v>
      </c>
      <c r="J24" s="8"/>
      <c r="K24" s="41" t="s">
        <v>109</v>
      </c>
      <c r="L24" s="31" t="s">
        <v>39</v>
      </c>
    </row>
    <row r="25" spans="1:13" ht="15" customHeight="1" thickBot="1" x14ac:dyDescent="0.35">
      <c r="A25" s="16" t="s">
        <v>20</v>
      </c>
      <c r="B25" s="49">
        <f>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3),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3)),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2),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2)),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
+(B18+E18-1))
)))</f>
        <v>227120160</v>
      </c>
      <c r="C25" s="37" t="s">
        <v>69</v>
      </c>
      <c r="D25" s="52" t="s">
        <v>21</v>
      </c>
      <c r="E25" s="56">
        <f>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3),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3)),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2),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2)),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9" t="s">
        <v>40</v>
      </c>
      <c r="H27" s="30" t="s">
        <v>48</v>
      </c>
      <c r="I27" s="84">
        <v>25</v>
      </c>
      <c r="J27" s="87" t="s">
        <v>115</v>
      </c>
      <c r="K27" s="90" t="s">
        <v>116</v>
      </c>
      <c r="L27" s="30" t="s">
        <v>48</v>
      </c>
      <c r="M27" s="79" t="s">
        <v>40</v>
      </c>
    </row>
    <row r="28" spans="1:13" ht="14.4" customHeight="1" thickBot="1" x14ac:dyDescent="0.35">
      <c r="A28" t="s">
        <v>126</v>
      </c>
      <c r="C28" s="38" t="s">
        <v>123</v>
      </c>
      <c r="D28" t="s">
        <v>127</v>
      </c>
      <c r="F28" s="11"/>
      <c r="G28" s="80"/>
      <c r="H28" s="31" t="s">
        <v>14</v>
      </c>
      <c r="I28" s="85"/>
      <c r="J28" s="88"/>
      <c r="K28" s="91"/>
      <c r="L28" s="31" t="s">
        <v>14</v>
      </c>
      <c r="M28" s="80"/>
    </row>
    <row r="29" spans="1:13" ht="14.4" customHeight="1" thickBot="1" x14ac:dyDescent="0.35">
      <c r="A29" s="59" t="s">
        <v>117</v>
      </c>
      <c r="B29" s="62" t="s">
        <v>135</v>
      </c>
      <c r="C29" s="38" t="s">
        <v>124</v>
      </c>
      <c r="D29" s="59" t="s">
        <v>117</v>
      </c>
      <c r="E29" s="62" t="s">
        <v>133</v>
      </c>
      <c r="F29" s="11"/>
      <c r="G29" s="80"/>
      <c r="H29" s="31" t="s">
        <v>15</v>
      </c>
      <c r="I29" s="85"/>
      <c r="J29" s="88"/>
      <c r="K29" s="91"/>
      <c r="L29" s="31" t="s">
        <v>15</v>
      </c>
      <c r="M29" s="80"/>
    </row>
    <row r="30" spans="1:13" ht="15" thickBot="1" x14ac:dyDescent="0.35">
      <c r="A30" s="60" t="s">
        <v>118</v>
      </c>
      <c r="B30" s="62" t="s">
        <v>136</v>
      </c>
      <c r="C30" s="38" t="s">
        <v>125</v>
      </c>
      <c r="D30" s="60" t="s">
        <v>118</v>
      </c>
      <c r="E30" s="62" t="s">
        <v>134</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64" t="s">
        <v>25</v>
      </c>
      <c r="B32" s="65"/>
      <c r="C32" s="65"/>
      <c r="D32" s="65"/>
      <c r="E32" s="66"/>
      <c r="F32" s="11"/>
      <c r="G32" s="80"/>
      <c r="H32" s="31" t="s">
        <v>47</v>
      </c>
      <c r="I32" s="85"/>
      <c r="J32" s="88"/>
      <c r="K32" s="91"/>
      <c r="L32" s="31" t="s">
        <v>47</v>
      </c>
      <c r="M32" s="80"/>
    </row>
    <row r="33" spans="1:13" ht="14.4" customHeight="1" thickBot="1" x14ac:dyDescent="0.35">
      <c r="A33" s="67"/>
      <c r="B33" s="68"/>
      <c r="C33" s="68"/>
      <c r="D33" s="68"/>
      <c r="E33" s="69"/>
      <c r="F33" s="11"/>
      <c r="G33" s="81"/>
      <c r="H33" s="32" t="s">
        <v>14</v>
      </c>
      <c r="I33" s="86"/>
      <c r="J33" s="89"/>
      <c r="K33" s="92"/>
      <c r="L33" s="32" t="s">
        <v>14</v>
      </c>
      <c r="M33" s="81"/>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84">
        <v>30</v>
      </c>
      <c r="J38" s="99" t="s">
        <v>104</v>
      </c>
      <c r="K38" s="82" t="s">
        <v>107</v>
      </c>
      <c r="L38" s="31" t="s">
        <v>41</v>
      </c>
    </row>
    <row r="39" spans="1:13" ht="14.4" customHeight="1" thickBot="1" x14ac:dyDescent="0.35">
      <c r="F39" s="11"/>
      <c r="H39" s="31" t="s">
        <v>46</v>
      </c>
      <c r="I39" s="86"/>
      <c r="J39" s="100"/>
      <c r="K39" s="83"/>
      <c r="L39" s="31" t="s">
        <v>46</v>
      </c>
    </row>
    <row r="40" spans="1:13" ht="14.4" customHeight="1" x14ac:dyDescent="0.3">
      <c r="A40" s="64" t="s">
        <v>12</v>
      </c>
      <c r="B40" s="65"/>
      <c r="C40" s="65"/>
      <c r="D40" s="65"/>
      <c r="E40" s="66"/>
      <c r="F40" s="11"/>
      <c r="H40" s="31" t="s">
        <v>36</v>
      </c>
      <c r="I40" s="84">
        <v>31</v>
      </c>
      <c r="J40" s="99" t="s">
        <v>106</v>
      </c>
      <c r="K40" s="82" t="s">
        <v>105</v>
      </c>
      <c r="L40" s="31" t="s">
        <v>36</v>
      </c>
    </row>
    <row r="41" spans="1:13" ht="15" thickBot="1" x14ac:dyDescent="0.35">
      <c r="A41" s="67"/>
      <c r="B41" s="68"/>
      <c r="C41" s="68"/>
      <c r="D41" s="68"/>
      <c r="E41" s="69"/>
      <c r="H41" s="31" t="s">
        <v>14</v>
      </c>
      <c r="I41" s="104"/>
      <c r="J41" s="100"/>
      <c r="K41" s="83"/>
      <c r="L41" s="31" t="s">
        <v>14</v>
      </c>
    </row>
    <row r="42" spans="1:13" ht="14.4" customHeight="1" thickBot="1" x14ac:dyDescent="0.35">
      <c r="A42" s="70"/>
      <c r="B42" s="71"/>
      <c r="C42" s="71"/>
      <c r="D42" s="71"/>
      <c r="E42" s="72"/>
      <c r="H42" s="30" t="s">
        <v>47</v>
      </c>
      <c r="I42" s="101">
        <v>32</v>
      </c>
      <c r="J42" s="93" t="s">
        <v>62</v>
      </c>
      <c r="K42" s="96" t="s">
        <v>62</v>
      </c>
      <c r="L42" s="30" t="s">
        <v>47</v>
      </c>
    </row>
    <row r="43" spans="1:13" ht="14.4" customHeight="1" thickBot="1" x14ac:dyDescent="0.35">
      <c r="H43" s="31" t="s">
        <v>35</v>
      </c>
      <c r="I43" s="102"/>
      <c r="J43" s="94"/>
      <c r="K43" s="97"/>
      <c r="L43" s="31" t="s">
        <v>35</v>
      </c>
    </row>
    <row r="44" spans="1:13" x14ac:dyDescent="0.3">
      <c r="A44" s="64" t="s">
        <v>13</v>
      </c>
      <c r="B44" s="65"/>
      <c r="C44" s="65"/>
      <c r="D44" s="65"/>
      <c r="E44" s="66"/>
      <c r="H44" s="31" t="s">
        <v>15</v>
      </c>
      <c r="I44" s="102"/>
      <c r="J44" s="94"/>
      <c r="K44" s="97"/>
      <c r="L44" s="31" t="s">
        <v>15</v>
      </c>
    </row>
    <row r="45" spans="1:13" x14ac:dyDescent="0.3">
      <c r="A45" s="67"/>
      <c r="B45" s="68"/>
      <c r="C45" s="68"/>
      <c r="D45" s="68"/>
      <c r="E45" s="69"/>
      <c r="H45" s="31" t="s">
        <v>15</v>
      </c>
      <c r="I45" s="102"/>
      <c r="J45" s="94"/>
      <c r="K45" s="97"/>
      <c r="L45" s="31" t="s">
        <v>15</v>
      </c>
    </row>
    <row r="46" spans="1:13" ht="14.4" customHeight="1" x14ac:dyDescent="0.3">
      <c r="A46" s="67"/>
      <c r="B46" s="68"/>
      <c r="C46" s="68"/>
      <c r="D46" s="68"/>
      <c r="E46" s="69"/>
      <c r="H46" s="31" t="s">
        <v>14</v>
      </c>
      <c r="I46" s="102"/>
      <c r="J46" s="94"/>
      <c r="K46" s="97"/>
      <c r="L46" s="31" t="s">
        <v>14</v>
      </c>
    </row>
    <row r="47" spans="1:13" ht="14.4" customHeight="1" x14ac:dyDescent="0.3">
      <c r="A47" s="67"/>
      <c r="B47" s="68"/>
      <c r="C47" s="68"/>
      <c r="D47" s="68"/>
      <c r="E47" s="69"/>
      <c r="H47" s="31" t="s">
        <v>47</v>
      </c>
      <c r="I47" s="102"/>
      <c r="J47" s="94"/>
      <c r="K47" s="97"/>
      <c r="L47" s="31" t="s">
        <v>47</v>
      </c>
    </row>
    <row r="48" spans="1:13" x14ac:dyDescent="0.3">
      <c r="A48" s="67"/>
      <c r="B48" s="68"/>
      <c r="C48" s="68"/>
      <c r="D48" s="68"/>
      <c r="E48" s="69"/>
      <c r="H48" s="31" t="s">
        <v>39</v>
      </c>
      <c r="I48" s="102"/>
      <c r="J48" s="94"/>
      <c r="K48" s="97"/>
      <c r="L48" s="31" t="s">
        <v>39</v>
      </c>
    </row>
    <row r="49" spans="1:12" ht="14.4" customHeight="1" x14ac:dyDescent="0.3">
      <c r="A49" s="67"/>
      <c r="B49" s="68"/>
      <c r="C49" s="68"/>
      <c r="D49" s="68"/>
      <c r="E49" s="69"/>
      <c r="H49" s="31" t="s">
        <v>38</v>
      </c>
      <c r="I49" s="102"/>
      <c r="J49" s="94"/>
      <c r="K49" s="97"/>
      <c r="L49" s="31" t="s">
        <v>38</v>
      </c>
    </row>
    <row r="50" spans="1:12" ht="14.4" customHeight="1" x14ac:dyDescent="0.3">
      <c r="A50" s="67"/>
      <c r="B50" s="68"/>
      <c r="C50" s="68"/>
      <c r="D50" s="68"/>
      <c r="E50" s="69"/>
      <c r="H50" s="31" t="s">
        <v>35</v>
      </c>
      <c r="I50" s="102"/>
      <c r="J50" s="94"/>
      <c r="K50" s="97"/>
      <c r="L50" s="31" t="s">
        <v>35</v>
      </c>
    </row>
    <row r="51" spans="1:12" ht="14.4" customHeight="1" thickBot="1" x14ac:dyDescent="0.35">
      <c r="A51" s="67"/>
      <c r="B51" s="68"/>
      <c r="C51" s="68"/>
      <c r="D51" s="68"/>
      <c r="E51" s="69"/>
      <c r="H51" s="32" t="s">
        <v>40</v>
      </c>
      <c r="I51" s="103"/>
      <c r="J51" s="95"/>
      <c r="K51" s="98"/>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132</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114</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131</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130</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137</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row r="233" spans="1:5" ht="15" thickBot="1" x14ac:dyDescent="0.35"/>
    <row r="234" spans="1:5" ht="14.4" customHeight="1" x14ac:dyDescent="0.3">
      <c r="A234" s="64" t="s">
        <v>143</v>
      </c>
      <c r="B234" s="65"/>
      <c r="C234" s="65"/>
      <c r="D234" s="65"/>
      <c r="E234" s="66"/>
    </row>
    <row r="235" spans="1:5" x14ac:dyDescent="0.3">
      <c r="A235" s="67"/>
      <c r="B235" s="105"/>
      <c r="C235" s="105"/>
      <c r="D235" s="105"/>
      <c r="E235" s="69"/>
    </row>
    <row r="236" spans="1:5" x14ac:dyDescent="0.3">
      <c r="A236" s="67"/>
      <c r="B236" s="105"/>
      <c r="C236" s="105"/>
      <c r="D236" s="105"/>
      <c r="E236" s="69"/>
    </row>
    <row r="237" spans="1:5" ht="15" thickBot="1" x14ac:dyDescent="0.35">
      <c r="A237" s="70"/>
      <c r="B237" s="71"/>
      <c r="C237" s="71"/>
      <c r="D237" s="71"/>
      <c r="E237" s="72"/>
    </row>
  </sheetData>
  <mergeCells count="44">
    <mergeCell ref="A234:E237"/>
    <mergeCell ref="A120:E125"/>
    <mergeCell ref="A127:E136"/>
    <mergeCell ref="I40:I41"/>
    <mergeCell ref="I38:I39"/>
    <mergeCell ref="A63:E75"/>
    <mergeCell ref="A77:E83"/>
    <mergeCell ref="A102:E104"/>
    <mergeCell ref="A36:E38"/>
    <mergeCell ref="A85:E88"/>
    <mergeCell ref="A90:E93"/>
    <mergeCell ref="A95:E100"/>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2:A4"/>
    <mergeCell ref="B2:B4"/>
    <mergeCell ref="A106:E112"/>
    <mergeCell ref="A32:E34"/>
    <mergeCell ref="A114:E118"/>
    <mergeCell ref="A228:E232"/>
    <mergeCell ref="A138:E141"/>
    <mergeCell ref="A143:E147"/>
    <mergeCell ref="A204:E206"/>
    <mergeCell ref="A149:E153"/>
    <mergeCell ref="A155:E164"/>
    <mergeCell ref="A219:E226"/>
    <mergeCell ref="A208:E217"/>
    <mergeCell ref="A166:E176"/>
    <mergeCell ref="A178:E191"/>
    <mergeCell ref="A193:E202"/>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2026-04-03T11:36:44Z</dcterms:modified>
</cp:coreProperties>
</file>