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cha\Dropbox\Projects_Personal\Partnerships\y. Sabalenka\"/>
    </mc:Choice>
  </mc:AlternateContent>
  <xr:revisionPtr revIDLastSave="0" documentId="8_{022071CB-1A51-4F55-8EF0-CFDC24C384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F12" i="1"/>
  <c r="H12" i="1" s="1"/>
  <c r="F11" i="1"/>
  <c r="H11" i="1" s="1"/>
  <c r="F10" i="1"/>
  <c r="H10" i="1" s="1"/>
  <c r="F9" i="1"/>
  <c r="H9" i="1" s="1"/>
  <c r="F8" i="1"/>
  <c r="H8" i="1" s="1"/>
  <c r="F7" i="1"/>
  <c r="H7" i="1" s="1"/>
  <c r="F6" i="1"/>
  <c r="H6" i="1" s="1"/>
  <c r="F5" i="1"/>
  <c r="H5" i="1" s="1"/>
</calcChain>
</file>

<file path=xl/sharedStrings.xml><?xml version="1.0" encoding="utf-8"?>
<sst xmlns="http://schemas.openxmlformats.org/spreadsheetml/2006/main" count="38" uniqueCount="35">
  <si>
    <t>WIMBLEDON PRIZE MONEY BREAKDOWN 2026AD</t>
  </si>
  <si>
    <t>Third Round</t>
  </si>
  <si>
    <t>Fourth Round</t>
  </si>
  <si>
    <t>Quarter-Finalists</t>
  </si>
  <si>
    <t>Semi-Finalists</t>
  </si>
  <si>
    <t>Runner-up</t>
  </si>
  <si>
    <t>Winner</t>
  </si>
  <si>
    <t>Second Round</t>
  </si>
  <si>
    <t>First Round</t>
  </si>
  <si>
    <t>Total</t>
  </si>
  <si>
    <t>Annual_Change</t>
  </si>
  <si>
    <t>3,600,000</t>
  </si>
  <si>
    <t>1,800,000</t>
  </si>
  <si>
    <t>900,000</t>
  </si>
  <si>
    <t>480,000</t>
  </si>
  <si>
    <t>300,000</t>
  </si>
  <si>
    <t>185,000</t>
  </si>
  <si>
    <t>126,000</t>
  </si>
  <si>
    <t>80,000</t>
  </si>
  <si>
    <t>1,920,000</t>
  </si>
  <si>
    <t>2,400,000</t>
  </si>
  <si>
    <t>2,960,000</t>
  </si>
  <si>
    <t>4,032,000</t>
  </si>
  <si>
    <t>5,120,000</t>
  </si>
  <si>
    <t>Total Estimated Wimbledon 2026AD Revenue (Including broadcasting rights, sponsorship/advertising, ticketing, hospitality, merchandising, food &amp; beverage, and other event income) = £440 Million</t>
  </si>
  <si>
    <t>Fair_Wimbledon_Player_To_Owner_Revenue_Split</t>
  </si>
  <si>
    <t>Fair_Total_Based_On_Exponential_Integral</t>
  </si>
  <si>
    <t>Other</t>
  </si>
  <si>
    <t>Comparison_Between_Actual_and_Fair</t>
  </si>
  <si>
    <t>Could be argued, anywhere up to 80% split, on a round-by-round basis</t>
  </si>
  <si>
    <t>Gentleman's_and_Ladies'_Singles</t>
  </si>
  <si>
    <t>Fair_Instance_Per_Player</t>
  </si>
  <si>
    <t>Slept Column</t>
  </si>
  <si>
    <t>Woke Column</t>
  </si>
  <si>
    <t>Actual_Instance_Per_Player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</si>
</sst>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0" fontId="1" fillId="3" borderId="1" xfId="0" applyNumberFormat="1" applyFont="1" applyFill="1" applyBorder="1" applyAlignment="1">
      <alignment horizontal="left" vertical="top"/>
    </xf>
    <xf numFmtId="3" fontId="0" fillId="5" borderId="1" xfId="0" applyNumberForma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1" fillId="6" borderId="7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10" fontId="1" fillId="6" borderId="1" xfId="0" applyNumberFormat="1" applyFont="1" applyFill="1" applyBorder="1" applyAlignment="1">
      <alignment horizontal="left" vertical="top"/>
    </xf>
    <xf numFmtId="49" fontId="0" fillId="2" borderId="18" xfId="0" applyNumberFormat="1" applyFill="1" applyBorder="1" applyAlignment="1">
      <alignment horizontal="left" vertical="top"/>
    </xf>
    <xf numFmtId="10" fontId="0" fillId="2" borderId="19" xfId="0" applyNumberFormat="1" applyFill="1" applyBorder="1" applyAlignment="1">
      <alignment horizontal="left" vertical="top"/>
    </xf>
    <xf numFmtId="49" fontId="1" fillId="6" borderId="2" xfId="0" applyNumberFormat="1" applyFont="1" applyFill="1" applyBorder="1" applyAlignment="1">
      <alignment horizontal="left" vertical="top"/>
    </xf>
    <xf numFmtId="10" fontId="1" fillId="6" borderId="2" xfId="0" applyNumberFormat="1" applyFont="1" applyFill="1" applyBorder="1" applyAlignment="1">
      <alignment horizontal="left" vertical="top"/>
    </xf>
    <xf numFmtId="10" fontId="1" fillId="3" borderId="2" xfId="0" applyNumberFormat="1" applyFont="1" applyFill="1" applyBorder="1" applyAlignment="1">
      <alignment horizontal="left" vertical="top"/>
    </xf>
    <xf numFmtId="3" fontId="0" fillId="5" borderId="2" xfId="0" applyNumberFormat="1" applyFill="1" applyBorder="1" applyAlignment="1">
      <alignment horizontal="left" vertical="top"/>
    </xf>
    <xf numFmtId="10" fontId="1" fillId="4" borderId="3" xfId="0" applyNumberFormat="1" applyFont="1" applyFill="1" applyBorder="1" applyAlignment="1">
      <alignment horizontal="left" vertical="top"/>
    </xf>
    <xf numFmtId="10" fontId="1" fillId="4" borderId="4" xfId="0" applyNumberFormat="1" applyFont="1" applyFill="1" applyBorder="1" applyAlignment="1">
      <alignment horizontal="left" vertical="top"/>
    </xf>
    <xf numFmtId="49" fontId="1" fillId="6" borderId="5" xfId="0" applyNumberFormat="1" applyFont="1" applyFill="1" applyBorder="1" applyAlignment="1">
      <alignment horizontal="left" vertical="top"/>
    </xf>
    <xf numFmtId="10" fontId="1" fillId="6" borderId="5" xfId="0" applyNumberFormat="1" applyFont="1" applyFill="1" applyBorder="1" applyAlignment="1">
      <alignment horizontal="left" vertical="top"/>
    </xf>
    <xf numFmtId="10" fontId="1" fillId="3" borderId="5" xfId="0" applyNumberFormat="1" applyFont="1" applyFill="1" applyBorder="1" applyAlignment="1">
      <alignment horizontal="left" vertical="top"/>
    </xf>
    <xf numFmtId="3" fontId="0" fillId="5" borderId="5" xfId="0" applyNumberFormat="1" applyFill="1" applyBorder="1" applyAlignment="1">
      <alignment horizontal="left" vertical="top"/>
    </xf>
    <xf numFmtId="10" fontId="1" fillId="4" borderId="6" xfId="0" applyNumberFormat="1" applyFont="1" applyFill="1" applyBorder="1" applyAlignment="1">
      <alignment horizontal="left" vertical="top"/>
    </xf>
    <xf numFmtId="3" fontId="0" fillId="5" borderId="1" xfId="0" applyNumberFormat="1" applyFill="1" applyBorder="1"/>
    <xf numFmtId="3" fontId="0" fillId="5" borderId="2" xfId="0" applyNumberFormat="1" applyFill="1" applyBorder="1"/>
    <xf numFmtId="3" fontId="0" fillId="5" borderId="5" xfId="0" applyNumberFormat="1" applyFill="1" applyBorder="1"/>
    <xf numFmtId="49" fontId="1" fillId="6" borderId="24" xfId="0" applyNumberFormat="1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11" xfId="0" applyNumberFormat="1" applyFont="1" applyFill="1" applyBorder="1" applyAlignment="1">
      <alignment horizontal="left" vertical="top"/>
    </xf>
    <xf numFmtId="49" fontId="1" fillId="6" borderId="10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10" fontId="1" fillId="2" borderId="19" xfId="0" applyNumberFormat="1" applyFont="1" applyFill="1" applyBorder="1" applyAlignment="1">
      <alignment horizontal="left" vertical="top"/>
    </xf>
    <xf numFmtId="49" fontId="0" fillId="2" borderId="19" xfId="0" applyNumberFormat="1" applyFill="1" applyBorder="1" applyAlignment="1">
      <alignment horizontal="left" vertical="top"/>
    </xf>
    <xf numFmtId="49" fontId="4" fillId="2" borderId="20" xfId="0" applyNumberFormat="1" applyFont="1" applyFill="1" applyBorder="1" applyAlignment="1">
      <alignment horizontal="left" vertical="top"/>
    </xf>
    <xf numFmtId="3" fontId="0" fillId="2" borderId="19" xfId="0" applyNumberFormat="1" applyFill="1" applyBorder="1" applyAlignment="1">
      <alignment horizontal="left" vertical="top"/>
    </xf>
    <xf numFmtId="10" fontId="1" fillId="2" borderId="26" xfId="0" applyNumberFormat="1" applyFont="1" applyFill="1" applyBorder="1" applyAlignment="1">
      <alignment horizontal="left" vertical="top"/>
    </xf>
    <xf numFmtId="49" fontId="1" fillId="6" borderId="17" xfId="0" applyNumberFormat="1" applyFont="1" applyFill="1" applyBorder="1" applyAlignment="1">
      <alignment horizontal="left" vertical="top" wrapText="1"/>
    </xf>
    <xf numFmtId="49" fontId="1" fillId="3" borderId="17" xfId="0" applyNumberFormat="1" applyFont="1" applyFill="1" applyBorder="1" applyAlignment="1">
      <alignment horizontal="left" vertical="top" wrapText="1"/>
    </xf>
    <xf numFmtId="49" fontId="0" fillId="5" borderId="17" xfId="0" applyNumberFormat="1" applyFill="1" applyBorder="1" applyAlignment="1">
      <alignment horizontal="left" vertical="top" wrapText="1"/>
    </xf>
    <xf numFmtId="49" fontId="1" fillId="4" borderId="25" xfId="0" applyNumberFormat="1" applyFont="1" applyFill="1" applyBorder="1" applyAlignment="1">
      <alignment horizontal="left" vertical="top" wrapText="1"/>
    </xf>
    <xf numFmtId="49" fontId="1" fillId="6" borderId="16" xfId="0" applyNumberFormat="1" applyFont="1" applyFill="1" applyBorder="1" applyAlignment="1">
      <alignment horizontal="left" vertical="top" wrapText="1"/>
    </xf>
    <xf numFmtId="49" fontId="1" fillId="6" borderId="12" xfId="0" applyNumberFormat="1" applyFont="1" applyFill="1" applyBorder="1" applyAlignment="1">
      <alignment horizontal="left" vertical="top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Normal="100" workbookViewId="0">
      <selection sqref="A1:H1"/>
    </sheetView>
  </sheetViews>
  <sheetFormatPr defaultRowHeight="14.4" x14ac:dyDescent="0.3"/>
  <cols>
    <col min="1" max="1" width="15.77734375" customWidth="1"/>
    <col min="2" max="2" width="15.5546875" customWidth="1"/>
    <col min="3" max="3" width="9.88671875" bestFit="1" customWidth="1"/>
    <col min="4" max="4" width="13.6640625" bestFit="1" customWidth="1"/>
    <col min="5" max="5" width="59.5546875" bestFit="1" customWidth="1"/>
    <col min="6" max="6" width="12.77734375" customWidth="1"/>
    <col min="7" max="7" width="30.109375" customWidth="1"/>
    <col min="8" max="8" width="20.33203125" customWidth="1"/>
  </cols>
  <sheetData>
    <row r="1" spans="1:8" ht="26.4" thickBot="1" x14ac:dyDescent="0.35">
      <c r="A1" s="39" t="s">
        <v>0</v>
      </c>
      <c r="B1" s="40"/>
      <c r="C1" s="40"/>
      <c r="D1" s="40"/>
      <c r="E1" s="40"/>
      <c r="F1" s="40"/>
      <c r="G1" s="40"/>
      <c r="H1" s="41"/>
    </row>
    <row r="2" spans="1:8" x14ac:dyDescent="0.3">
      <c r="A2" s="42" t="s">
        <v>24</v>
      </c>
      <c r="B2" s="43"/>
      <c r="C2" s="43"/>
      <c r="D2" s="43"/>
      <c r="E2" s="43"/>
      <c r="F2" s="43"/>
      <c r="G2" s="43"/>
      <c r="H2" s="44"/>
    </row>
    <row r="3" spans="1:8" ht="15" thickBot="1" x14ac:dyDescent="0.35">
      <c r="A3" s="45"/>
      <c r="B3" s="46"/>
      <c r="C3" s="46"/>
      <c r="D3" s="46"/>
      <c r="E3" s="46"/>
      <c r="F3" s="46"/>
      <c r="G3" s="46"/>
      <c r="H3" s="47"/>
    </row>
    <row r="4" spans="1:8" ht="31.2" customHeight="1" thickBot="1" x14ac:dyDescent="0.35">
      <c r="A4" s="38" t="s">
        <v>30</v>
      </c>
      <c r="B4" s="37" t="s">
        <v>34</v>
      </c>
      <c r="C4" s="33" t="s">
        <v>9</v>
      </c>
      <c r="D4" s="33" t="s">
        <v>10</v>
      </c>
      <c r="E4" s="34" t="s">
        <v>25</v>
      </c>
      <c r="F4" s="35" t="s">
        <v>31</v>
      </c>
      <c r="G4" s="35" t="s">
        <v>26</v>
      </c>
      <c r="H4" s="36" t="s">
        <v>28</v>
      </c>
    </row>
    <row r="5" spans="1:8" x14ac:dyDescent="0.3">
      <c r="A5" s="25" t="s">
        <v>6</v>
      </c>
      <c r="B5" s="23" t="s">
        <v>11</v>
      </c>
      <c r="C5" s="9" t="s">
        <v>11</v>
      </c>
      <c r="D5" s="10">
        <v>0.2</v>
      </c>
      <c r="E5" s="11">
        <v>0.2</v>
      </c>
      <c r="F5" s="12">
        <f>((G5/2)*E5)</f>
        <v>10312500</v>
      </c>
      <c r="G5" s="21">
        <v>103125000</v>
      </c>
      <c r="H5" s="13">
        <f>(B5/F5)</f>
        <v>0.34909090909090912</v>
      </c>
    </row>
    <row r="6" spans="1:8" x14ac:dyDescent="0.3">
      <c r="A6" s="3" t="s">
        <v>5</v>
      </c>
      <c r="B6" s="4" t="s">
        <v>12</v>
      </c>
      <c r="C6" s="5" t="s">
        <v>12</v>
      </c>
      <c r="D6" s="6">
        <v>0.18</v>
      </c>
      <c r="E6" s="1">
        <v>0.2</v>
      </c>
      <c r="F6" s="2">
        <f>((G6/2)*E6)</f>
        <v>8937500</v>
      </c>
      <c r="G6" s="20">
        <v>89375000</v>
      </c>
      <c r="H6" s="14">
        <f t="shared" ref="H6:H12" si="0">(B6/F6)</f>
        <v>0.20139860139860141</v>
      </c>
    </row>
    <row r="7" spans="1:8" x14ac:dyDescent="0.3">
      <c r="A7" s="3" t="s">
        <v>4</v>
      </c>
      <c r="B7" s="4" t="s">
        <v>13</v>
      </c>
      <c r="C7" s="5" t="s">
        <v>12</v>
      </c>
      <c r="D7" s="6">
        <v>0.16</v>
      </c>
      <c r="E7" s="1">
        <v>0.2</v>
      </c>
      <c r="F7" s="2">
        <f>((G7/4)*E7)</f>
        <v>3781250</v>
      </c>
      <c r="G7" s="20">
        <v>75625000</v>
      </c>
      <c r="H7" s="14">
        <f t="shared" si="0"/>
        <v>0.23801652892561984</v>
      </c>
    </row>
    <row r="8" spans="1:8" x14ac:dyDescent="0.3">
      <c r="A8" s="3" t="s">
        <v>3</v>
      </c>
      <c r="B8" s="4" t="s">
        <v>14</v>
      </c>
      <c r="C8" s="5" t="s">
        <v>19</v>
      </c>
      <c r="D8" s="6">
        <v>0.2</v>
      </c>
      <c r="E8" s="1">
        <v>0.2</v>
      </c>
      <c r="F8" s="2">
        <f>((G8/8)*E8)</f>
        <v>1546875</v>
      </c>
      <c r="G8" s="20">
        <v>61875000</v>
      </c>
      <c r="H8" s="14">
        <f t="shared" si="0"/>
        <v>0.3103030303030303</v>
      </c>
    </row>
    <row r="9" spans="1:8" x14ac:dyDescent="0.3">
      <c r="A9" s="3" t="s">
        <v>2</v>
      </c>
      <c r="B9" s="4" t="s">
        <v>15</v>
      </c>
      <c r="C9" s="5" t="s">
        <v>20</v>
      </c>
      <c r="D9" s="6">
        <v>0.25</v>
      </c>
      <c r="E9" s="1">
        <v>0.2</v>
      </c>
      <c r="F9" s="2">
        <f>((G9/16)*E9)</f>
        <v>601562.5</v>
      </c>
      <c r="G9" s="20">
        <v>48125000</v>
      </c>
      <c r="H9" s="14">
        <f t="shared" si="0"/>
        <v>0.4987012987012987</v>
      </c>
    </row>
    <row r="10" spans="1:8" x14ac:dyDescent="0.3">
      <c r="A10" s="3" t="s">
        <v>1</v>
      </c>
      <c r="B10" s="4" t="s">
        <v>16</v>
      </c>
      <c r="C10" s="5" t="s">
        <v>21</v>
      </c>
      <c r="D10" s="6">
        <v>0.23</v>
      </c>
      <c r="E10" s="1">
        <v>0.2</v>
      </c>
      <c r="F10" s="2">
        <f>((G10/32)*E10)</f>
        <v>214843.75</v>
      </c>
      <c r="G10" s="20">
        <v>34375000</v>
      </c>
      <c r="H10" s="14">
        <f t="shared" si="0"/>
        <v>0.86109090909090913</v>
      </c>
    </row>
    <row r="11" spans="1:8" x14ac:dyDescent="0.3">
      <c r="A11" s="3" t="s">
        <v>7</v>
      </c>
      <c r="B11" s="4" t="s">
        <v>17</v>
      </c>
      <c r="C11" s="5" t="s">
        <v>22</v>
      </c>
      <c r="D11" s="6">
        <v>0.26</v>
      </c>
      <c r="E11" s="1">
        <v>0.2</v>
      </c>
      <c r="F11" s="2">
        <f>((G11/64)*E11)</f>
        <v>64453.125</v>
      </c>
      <c r="G11" s="20">
        <v>20625000</v>
      </c>
      <c r="H11" s="14">
        <f t="shared" si="0"/>
        <v>1.9549090909090909</v>
      </c>
    </row>
    <row r="12" spans="1:8" ht="15" thickBot="1" x14ac:dyDescent="0.35">
      <c r="A12" s="26" t="s">
        <v>8</v>
      </c>
      <c r="B12" s="24" t="s">
        <v>18</v>
      </c>
      <c r="C12" s="15" t="s">
        <v>23</v>
      </c>
      <c r="D12" s="16">
        <v>0.21</v>
      </c>
      <c r="E12" s="17">
        <v>0.2</v>
      </c>
      <c r="F12" s="18">
        <f>((G12/128)*E12)</f>
        <v>10742.1875</v>
      </c>
      <c r="G12" s="22">
        <v>6875000</v>
      </c>
      <c r="H12" s="19">
        <f t="shared" si="0"/>
        <v>7.4472727272727273</v>
      </c>
    </row>
    <row r="13" spans="1:8" ht="15" thickBot="1" x14ac:dyDescent="0.35">
      <c r="A13" s="30" t="s">
        <v>27</v>
      </c>
      <c r="B13" s="7"/>
      <c r="C13" s="27"/>
      <c r="D13" s="28"/>
      <c r="E13" s="8" t="s">
        <v>29</v>
      </c>
      <c r="F13" s="29"/>
      <c r="G13" s="31" t="str">
        <f>"TOTAL = £" &amp; (SUM(G5:G12)/1000000) &amp; " Million"</f>
        <v>TOTAL = £440 Million</v>
      </c>
      <c r="H13" s="32"/>
    </row>
    <row r="14" spans="1:8" x14ac:dyDescent="0.3">
      <c r="F14" t="s">
        <v>32</v>
      </c>
      <c r="H14" t="s">
        <v>33</v>
      </c>
    </row>
  </sheetData>
  <mergeCells count="2">
    <mergeCell ref="A1:H1"/>
    <mergeCell ref="A2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2026-06-25T23:14:01Z</dcterms:modified>
</cp:coreProperties>
</file>