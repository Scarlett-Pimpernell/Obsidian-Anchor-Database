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micha\Dropbox\Projects_Personal\Partnerships\y. Sabalenka\"/>
    </mc:Choice>
  </mc:AlternateContent>
  <xr:revisionPtr revIDLastSave="0" documentId="13_ncr:1_{FCF16680-3B36-4E6C-AD5B-248D12FAA54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 l="1"/>
  <c r="F13" i="1"/>
  <c r="F12" i="1"/>
  <c r="H12" i="1"/>
  <c r="F11" i="1"/>
  <c r="H11" i="1" s="1"/>
  <c r="F10" i="1"/>
  <c r="H10" i="1" s="1"/>
  <c r="F9" i="1"/>
  <c r="H9" i="1" s="1"/>
  <c r="F8" i="1"/>
  <c r="H8" i="1" s="1"/>
  <c r="F7" i="1"/>
  <c r="H7" i="1" s="1"/>
  <c r="F6" i="1"/>
  <c r="H6" i="1" s="1"/>
  <c r="F5" i="1"/>
  <c r="H5" i="1" s="1"/>
</calcChain>
</file>

<file path=xl/sharedStrings.xml><?xml version="1.0" encoding="utf-8"?>
<sst xmlns="http://schemas.openxmlformats.org/spreadsheetml/2006/main" count="24" uniqueCount="24">
  <si>
    <t>WIMBLEDON PRIZE MONEY BREAKDOWN 2026AD</t>
  </si>
  <si>
    <t>Third Round</t>
  </si>
  <si>
    <t>Fourth Round</t>
  </si>
  <si>
    <t>Quarter-Finalists</t>
  </si>
  <si>
    <t>Semi-Finalists</t>
  </si>
  <si>
    <t>Runner-up</t>
  </si>
  <si>
    <t>Winner</t>
  </si>
  <si>
    <t>Second Round</t>
  </si>
  <si>
    <t>First Round</t>
  </si>
  <si>
    <t>Total</t>
  </si>
  <si>
    <t>Annual_Change</t>
  </si>
  <si>
    <t>Total Estimated Wimbledon 2026AD Revenue (Including broadcasting rights, sponsorship/advertising, ticketing, hospitality, merchandising, food &amp; beverage, and other event income) = £440 Million</t>
  </si>
  <si>
    <t>Fair_Wimbledon_Player_To_Owner_Revenue_Split</t>
  </si>
  <si>
    <t>Other</t>
  </si>
  <si>
    <t>Comparison_Between_Actual_and_Fair</t>
  </si>
  <si>
    <t>Could be argued, anywhere up to 80% split, on a round-by-round basis</t>
  </si>
  <si>
    <t>Gentleman's_and_Ladies'_Singles</t>
  </si>
  <si>
    <t>Fair_Instance_Per_Player</t>
  </si>
  <si>
    <t>Slept Column</t>
  </si>
  <si>
    <t>Woke Column</t>
  </si>
  <si>
    <t>Actual_Instance_Per_Player</t>
  </si>
  <si>
    <t>Fair_Revenue_Attribution_Based_On_An_Exponential_Integral</t>
  </si>
  <si>
    <t>Mordor Column</t>
  </si>
  <si>
    <t>Nota Bene 0001... and so it would appear, that the amount of total prize money given out by Wimbledon this season, is roughly half of what it should be, in all fairness... and, that the distribution of the total prize money, across the various rounds, is clearly problematic to say the least!!!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</si>
</sst>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0"/>
      <name val="Calibri"/>
      <family val="2"/>
      <scheme val="minor"/>
    </font>
    <font>
      <b/>
      <sz val="20"/>
      <color theme="1"/>
      <name val="Calibri"/>
      <family val="2"/>
      <scheme val="minor"/>
    </font>
    <font>
      <b/>
      <sz val="9"/>
      <color rgb="FFFF0000"/>
      <name val="Calibri"/>
      <family val="2"/>
      <scheme val="minor"/>
    </font>
    <font>
      <sz val="11"/>
      <name val="Calibri"/>
      <family val="2"/>
      <scheme val="minor"/>
    </font>
    <font>
      <b/>
      <u/>
      <sz val="11"/>
      <color theme="1"/>
      <name val="Calibri"/>
      <family val="2"/>
      <scheme val="minor"/>
    </font>
  </fonts>
  <fills count="8">
    <fill>
      <patternFill patternType="none"/>
    </fill>
    <fill>
      <patternFill patternType="gray125"/>
    </fill>
    <fill>
      <patternFill patternType="solid">
        <fgColor theme="0" tint="-0.34998626667073579"/>
        <bgColor indexed="64"/>
      </patternFill>
    </fill>
    <fill>
      <patternFill patternType="solid">
        <fgColor rgb="FF339933"/>
        <bgColor indexed="64"/>
      </patternFill>
    </fill>
    <fill>
      <patternFill patternType="solid">
        <fgColor rgb="FF7030A0"/>
        <bgColor indexed="64"/>
      </patternFill>
    </fill>
    <fill>
      <patternFill patternType="solid">
        <fgColor rgb="FFFF99CC"/>
        <bgColor indexed="64"/>
      </patternFill>
    </fill>
    <fill>
      <patternFill patternType="solid">
        <fgColor theme="7" tint="-0.249977111117893"/>
        <bgColor indexed="64"/>
      </patternFill>
    </fill>
    <fill>
      <patternFill patternType="solid">
        <fgColor rgb="FFFFFF0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4">
    <xf numFmtId="0" fontId="0" fillId="0" borderId="0" xfId="0"/>
    <xf numFmtId="10" fontId="1" fillId="3" borderId="1" xfId="0" applyNumberFormat="1" applyFont="1" applyFill="1" applyBorder="1" applyAlignment="1">
      <alignment horizontal="left" vertical="top"/>
    </xf>
    <xf numFmtId="3" fontId="0" fillId="5" borderId="1" xfId="0" applyNumberFormat="1" applyFill="1" applyBorder="1" applyAlignment="1">
      <alignment horizontal="left" vertical="top"/>
    </xf>
    <xf numFmtId="49" fontId="1" fillId="6" borderId="9" xfId="0" applyNumberFormat="1" applyFont="1" applyFill="1" applyBorder="1" applyAlignment="1">
      <alignment horizontal="left" vertical="top"/>
    </xf>
    <xf numFmtId="10" fontId="1" fillId="6" borderId="1" xfId="0" applyNumberFormat="1" applyFont="1" applyFill="1" applyBorder="1" applyAlignment="1">
      <alignment horizontal="left" vertical="top"/>
    </xf>
    <xf numFmtId="10" fontId="0" fillId="2" borderId="18" xfId="0" applyNumberFormat="1" applyFill="1" applyBorder="1" applyAlignment="1">
      <alignment horizontal="left" vertical="top"/>
    </xf>
    <xf numFmtId="10" fontId="1" fillId="6" borderId="2" xfId="0" applyNumberFormat="1" applyFont="1" applyFill="1" applyBorder="1" applyAlignment="1">
      <alignment horizontal="left" vertical="top"/>
    </xf>
    <xf numFmtId="10" fontId="1" fillId="3" borderId="2" xfId="0" applyNumberFormat="1" applyFont="1" applyFill="1" applyBorder="1" applyAlignment="1">
      <alignment horizontal="left" vertical="top"/>
    </xf>
    <xf numFmtId="3" fontId="0" fillId="5" borderId="2" xfId="0" applyNumberFormat="1" applyFill="1" applyBorder="1" applyAlignment="1">
      <alignment horizontal="left" vertical="top"/>
    </xf>
    <xf numFmtId="10" fontId="1" fillId="4" borderId="3" xfId="0" applyNumberFormat="1" applyFont="1" applyFill="1" applyBorder="1" applyAlignment="1">
      <alignment horizontal="left" vertical="top"/>
    </xf>
    <xf numFmtId="10" fontId="1" fillId="4" borderId="4" xfId="0" applyNumberFormat="1" applyFont="1" applyFill="1" applyBorder="1" applyAlignment="1">
      <alignment horizontal="left" vertical="top"/>
    </xf>
    <xf numFmtId="10" fontId="1" fillId="6" borderId="5" xfId="0" applyNumberFormat="1" applyFont="1" applyFill="1" applyBorder="1" applyAlignment="1">
      <alignment horizontal="left" vertical="top"/>
    </xf>
    <xf numFmtId="10" fontId="1" fillId="3" borderId="5" xfId="0" applyNumberFormat="1" applyFont="1" applyFill="1" applyBorder="1" applyAlignment="1">
      <alignment horizontal="left" vertical="top"/>
    </xf>
    <xf numFmtId="3" fontId="0" fillId="5" borderId="5" xfId="0" applyNumberFormat="1" applyFill="1" applyBorder="1" applyAlignment="1">
      <alignment horizontal="left" vertical="top"/>
    </xf>
    <xf numFmtId="10" fontId="1" fillId="4" borderId="6" xfId="0" applyNumberFormat="1" applyFont="1" applyFill="1" applyBorder="1" applyAlignment="1">
      <alignment horizontal="left" vertical="top"/>
    </xf>
    <xf numFmtId="49" fontId="1" fillId="6" borderId="11" xfId="0" applyNumberFormat="1" applyFont="1" applyFill="1" applyBorder="1" applyAlignment="1">
      <alignment horizontal="left" vertical="top"/>
    </xf>
    <xf numFmtId="49" fontId="1" fillId="6" borderId="10" xfId="0" applyNumberFormat="1" applyFont="1" applyFill="1" applyBorder="1" applyAlignment="1">
      <alignment horizontal="left" vertical="top"/>
    </xf>
    <xf numFmtId="10" fontId="1" fillId="2" borderId="18" xfId="0" applyNumberFormat="1" applyFont="1" applyFill="1" applyBorder="1" applyAlignment="1">
      <alignment horizontal="left" vertical="top"/>
    </xf>
    <xf numFmtId="49" fontId="4" fillId="2" borderId="19" xfId="0" applyNumberFormat="1" applyFont="1" applyFill="1" applyBorder="1" applyAlignment="1">
      <alignment horizontal="left" vertical="top"/>
    </xf>
    <xf numFmtId="3" fontId="0" fillId="2" borderId="18" xfId="0" applyNumberFormat="1" applyFill="1" applyBorder="1" applyAlignment="1">
      <alignment horizontal="left" vertical="top"/>
    </xf>
    <xf numFmtId="10" fontId="1" fillId="2" borderId="25" xfId="0" applyNumberFormat="1" applyFont="1" applyFill="1" applyBorder="1" applyAlignment="1">
      <alignment horizontal="left" vertical="top"/>
    </xf>
    <xf numFmtId="49" fontId="1" fillId="6" borderId="17" xfId="0" applyNumberFormat="1" applyFont="1" applyFill="1" applyBorder="1" applyAlignment="1">
      <alignment horizontal="left" vertical="top" wrapText="1"/>
    </xf>
    <xf numFmtId="49" fontId="1" fillId="3" borderId="17" xfId="0" applyNumberFormat="1" applyFont="1" applyFill="1" applyBorder="1" applyAlignment="1">
      <alignment horizontal="left" vertical="top" wrapText="1"/>
    </xf>
    <xf numFmtId="49" fontId="0" fillId="5" borderId="17" xfId="0" applyNumberFormat="1" applyFill="1" applyBorder="1" applyAlignment="1">
      <alignment horizontal="left" vertical="top" wrapText="1"/>
    </xf>
    <xf numFmtId="49" fontId="1" fillId="4" borderId="24" xfId="0" applyNumberFormat="1" applyFont="1" applyFill="1" applyBorder="1" applyAlignment="1">
      <alignment horizontal="left" vertical="top" wrapText="1"/>
    </xf>
    <xf numFmtId="49" fontId="1" fillId="6" borderId="16" xfId="0" applyNumberFormat="1" applyFont="1" applyFill="1" applyBorder="1" applyAlignment="1">
      <alignment horizontal="left" vertical="top" wrapText="1"/>
    </xf>
    <xf numFmtId="49" fontId="1" fillId="6" borderId="12" xfId="0" applyNumberFormat="1" applyFont="1" applyFill="1" applyBorder="1" applyAlignment="1">
      <alignment horizontal="left" vertical="top" wrapText="1"/>
    </xf>
    <xf numFmtId="49" fontId="2" fillId="0" borderId="13" xfId="0" applyNumberFormat="1" applyFont="1" applyBorder="1" applyAlignment="1">
      <alignment horizontal="center" vertical="center" wrapText="1"/>
    </xf>
    <xf numFmtId="49" fontId="2" fillId="0" borderId="14" xfId="0" applyNumberFormat="1" applyFont="1" applyBorder="1" applyAlignment="1">
      <alignment horizontal="center" vertical="center" wrapText="1"/>
    </xf>
    <xf numFmtId="49" fontId="2" fillId="0" borderId="15" xfId="0" applyNumberFormat="1" applyFont="1" applyBorder="1" applyAlignment="1">
      <alignment horizontal="center" vertical="center" wrapText="1"/>
    </xf>
    <xf numFmtId="49" fontId="3" fillId="0" borderId="20" xfId="0" applyNumberFormat="1" applyFont="1" applyBorder="1" applyAlignment="1">
      <alignment horizontal="center" vertical="center" wrapText="1"/>
    </xf>
    <xf numFmtId="49" fontId="3" fillId="0" borderId="21" xfId="0" applyNumberFormat="1" applyFont="1" applyBorder="1" applyAlignment="1">
      <alignment horizontal="center" vertical="center" wrapText="1"/>
    </xf>
    <xf numFmtId="49" fontId="3" fillId="0" borderId="22" xfId="0" applyNumberFormat="1" applyFont="1" applyBorder="1" applyAlignment="1">
      <alignment horizontal="center" vertical="center" wrapText="1"/>
    </xf>
    <xf numFmtId="49" fontId="3" fillId="0" borderId="26" xfId="0" applyNumberFormat="1" applyFont="1" applyBorder="1" applyAlignment="1">
      <alignment horizontal="center" vertical="center" wrapText="1"/>
    </xf>
    <xf numFmtId="49" fontId="3" fillId="0" borderId="27" xfId="0" applyNumberFormat="1" applyFont="1" applyBorder="1" applyAlignment="1">
      <alignment horizontal="center" vertical="center" wrapText="1"/>
    </xf>
    <xf numFmtId="49" fontId="3" fillId="0" borderId="28" xfId="0" applyNumberFormat="1" applyFont="1" applyBorder="1" applyAlignment="1">
      <alignment horizontal="center" vertical="center" wrapText="1"/>
    </xf>
    <xf numFmtId="3" fontId="1" fillId="6" borderId="23" xfId="0" applyNumberFormat="1" applyFont="1" applyFill="1" applyBorder="1" applyAlignment="1">
      <alignment horizontal="left" vertical="top"/>
    </xf>
    <xf numFmtId="3" fontId="1" fillId="6" borderId="2" xfId="0" applyNumberFormat="1" applyFont="1" applyFill="1" applyBorder="1" applyAlignment="1">
      <alignment horizontal="left" vertical="top"/>
    </xf>
    <xf numFmtId="3" fontId="1" fillId="6" borderId="7" xfId="0" applyNumberFormat="1" applyFont="1" applyFill="1" applyBorder="1" applyAlignment="1">
      <alignment horizontal="left" vertical="top"/>
    </xf>
    <xf numFmtId="3" fontId="1" fillId="6" borderId="1" xfId="0" applyNumberFormat="1" applyFont="1" applyFill="1" applyBorder="1" applyAlignment="1">
      <alignment horizontal="left" vertical="top"/>
    </xf>
    <xf numFmtId="3" fontId="1" fillId="6" borderId="8" xfId="0" applyNumberFormat="1" applyFont="1" applyFill="1" applyBorder="1" applyAlignment="1">
      <alignment horizontal="left" vertical="top"/>
    </xf>
    <xf numFmtId="3" fontId="1" fillId="6" borderId="5" xfId="0" applyNumberFormat="1" applyFont="1" applyFill="1" applyBorder="1" applyAlignment="1">
      <alignment horizontal="left" vertical="top"/>
    </xf>
    <xf numFmtId="3" fontId="0" fillId="7" borderId="18" xfId="0" applyNumberFormat="1" applyFill="1" applyBorder="1" applyAlignment="1">
      <alignment horizontal="left" vertical="top"/>
    </xf>
    <xf numFmtId="0" fontId="5"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mruColors>
      <color rgb="FFFF99CC"/>
      <color rgb="FF33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zoomScaleNormal="100" workbookViewId="0">
      <selection sqref="A1:H1"/>
    </sheetView>
  </sheetViews>
  <sheetFormatPr defaultRowHeight="14.4" x14ac:dyDescent="0.3"/>
  <cols>
    <col min="1" max="1" width="15.77734375" customWidth="1"/>
    <col min="2" max="2" width="24" bestFit="1" customWidth="1"/>
    <col min="3" max="3" width="8.88671875" bestFit="1" customWidth="1"/>
    <col min="4" max="4" width="13.6640625" bestFit="1" customWidth="1"/>
    <col min="5" max="5" width="59.5546875" bestFit="1" customWidth="1"/>
    <col min="6" max="6" width="21.88671875" bestFit="1" customWidth="1"/>
    <col min="7" max="7" width="29.109375" customWidth="1"/>
    <col min="8" max="8" width="20.33203125" customWidth="1"/>
  </cols>
  <sheetData>
    <row r="1" spans="1:8" ht="26.4" thickBot="1" x14ac:dyDescent="0.35">
      <c r="A1" s="27" t="s">
        <v>0</v>
      </c>
      <c r="B1" s="28"/>
      <c r="C1" s="28"/>
      <c r="D1" s="28"/>
      <c r="E1" s="28"/>
      <c r="F1" s="28"/>
      <c r="G1" s="28"/>
      <c r="H1" s="29"/>
    </row>
    <row r="2" spans="1:8" x14ac:dyDescent="0.3">
      <c r="A2" s="30" t="s">
        <v>11</v>
      </c>
      <c r="B2" s="31"/>
      <c r="C2" s="31"/>
      <c r="D2" s="31"/>
      <c r="E2" s="31"/>
      <c r="F2" s="31"/>
      <c r="G2" s="31"/>
      <c r="H2" s="32"/>
    </row>
    <row r="3" spans="1:8" ht="15" thickBot="1" x14ac:dyDescent="0.35">
      <c r="A3" s="33"/>
      <c r="B3" s="34"/>
      <c r="C3" s="34"/>
      <c r="D3" s="34"/>
      <c r="E3" s="34"/>
      <c r="F3" s="34"/>
      <c r="G3" s="34"/>
      <c r="H3" s="35"/>
    </row>
    <row r="4" spans="1:8" ht="31.2" customHeight="1" thickBot="1" x14ac:dyDescent="0.35">
      <c r="A4" s="26" t="s">
        <v>16</v>
      </c>
      <c r="B4" s="25" t="s">
        <v>20</v>
      </c>
      <c r="C4" s="21" t="s">
        <v>9</v>
      </c>
      <c r="D4" s="21" t="s">
        <v>10</v>
      </c>
      <c r="E4" s="22" t="s">
        <v>12</v>
      </c>
      <c r="F4" s="23" t="s">
        <v>17</v>
      </c>
      <c r="G4" s="23" t="s">
        <v>21</v>
      </c>
      <c r="H4" s="24" t="s">
        <v>14</v>
      </c>
    </row>
    <row r="5" spans="1:8" x14ac:dyDescent="0.3">
      <c r="A5" s="15" t="s">
        <v>6</v>
      </c>
      <c r="B5" s="36">
        <v>3600000</v>
      </c>
      <c r="C5" s="37">
        <v>3600000</v>
      </c>
      <c r="D5" s="6">
        <v>0.2</v>
      </c>
      <c r="E5" s="7">
        <v>0.2</v>
      </c>
      <c r="F5" s="8">
        <f>((G5/2)*E5)</f>
        <v>10312500</v>
      </c>
      <c r="G5" s="8">
        <v>103125000</v>
      </c>
      <c r="H5" s="9">
        <f>(B5/F5)</f>
        <v>0.34909090909090912</v>
      </c>
    </row>
    <row r="6" spans="1:8" x14ac:dyDescent="0.3">
      <c r="A6" s="3" t="s">
        <v>5</v>
      </c>
      <c r="B6" s="38">
        <v>1800000</v>
      </c>
      <c r="C6" s="39">
        <v>1800000</v>
      </c>
      <c r="D6" s="4">
        <v>0.18</v>
      </c>
      <c r="E6" s="1">
        <v>0.2</v>
      </c>
      <c r="F6" s="2">
        <f>((G6/2)*E6)</f>
        <v>8937500</v>
      </c>
      <c r="G6" s="2">
        <v>89375000</v>
      </c>
      <c r="H6" s="10">
        <f t="shared" ref="H6:H12" si="0">(B6/F6)</f>
        <v>0.20139860139860141</v>
      </c>
    </row>
    <row r="7" spans="1:8" x14ac:dyDescent="0.3">
      <c r="A7" s="3" t="s">
        <v>4</v>
      </c>
      <c r="B7" s="38">
        <v>900000</v>
      </c>
      <c r="C7" s="39">
        <v>1800000</v>
      </c>
      <c r="D7" s="4">
        <v>0.16</v>
      </c>
      <c r="E7" s="1">
        <v>0.2</v>
      </c>
      <c r="F7" s="2">
        <f>((G7/4)*E7)</f>
        <v>3781250</v>
      </c>
      <c r="G7" s="2">
        <v>75625000</v>
      </c>
      <c r="H7" s="10">
        <f t="shared" si="0"/>
        <v>0.23801652892561984</v>
      </c>
    </row>
    <row r="8" spans="1:8" x14ac:dyDescent="0.3">
      <c r="A8" s="3" t="s">
        <v>3</v>
      </c>
      <c r="B8" s="38">
        <v>480000</v>
      </c>
      <c r="C8" s="39">
        <v>1920000</v>
      </c>
      <c r="D8" s="4">
        <v>0.2</v>
      </c>
      <c r="E8" s="1">
        <v>0.2</v>
      </c>
      <c r="F8" s="2">
        <f>((G8/8)*E8)</f>
        <v>1546875</v>
      </c>
      <c r="G8" s="2">
        <v>61875000</v>
      </c>
      <c r="H8" s="10">
        <f t="shared" si="0"/>
        <v>0.3103030303030303</v>
      </c>
    </row>
    <row r="9" spans="1:8" x14ac:dyDescent="0.3">
      <c r="A9" s="3" t="s">
        <v>2</v>
      </c>
      <c r="B9" s="38">
        <v>300000</v>
      </c>
      <c r="C9" s="39">
        <v>2400000</v>
      </c>
      <c r="D9" s="4">
        <v>0.25</v>
      </c>
      <c r="E9" s="1">
        <v>0.2</v>
      </c>
      <c r="F9" s="2">
        <f>((G9/16)*E9)</f>
        <v>601562.5</v>
      </c>
      <c r="G9" s="2">
        <v>48125000</v>
      </c>
      <c r="H9" s="10">
        <f t="shared" si="0"/>
        <v>0.4987012987012987</v>
      </c>
    </row>
    <row r="10" spans="1:8" x14ac:dyDescent="0.3">
      <c r="A10" s="3" t="s">
        <v>1</v>
      </c>
      <c r="B10" s="38">
        <v>185000</v>
      </c>
      <c r="C10" s="39">
        <v>2960000</v>
      </c>
      <c r="D10" s="4">
        <v>0.23</v>
      </c>
      <c r="E10" s="1">
        <v>0.2</v>
      </c>
      <c r="F10" s="2">
        <f>((G10/32)*E10)</f>
        <v>214843.75</v>
      </c>
      <c r="G10" s="2">
        <v>34375000</v>
      </c>
      <c r="H10" s="10">
        <f t="shared" si="0"/>
        <v>0.86109090909090913</v>
      </c>
    </row>
    <row r="11" spans="1:8" x14ac:dyDescent="0.3">
      <c r="A11" s="3" t="s">
        <v>7</v>
      </c>
      <c r="B11" s="38">
        <v>126000</v>
      </c>
      <c r="C11" s="39">
        <v>4032000</v>
      </c>
      <c r="D11" s="4">
        <v>0.26</v>
      </c>
      <c r="E11" s="1">
        <v>0.2</v>
      </c>
      <c r="F11" s="2">
        <f>((G11/64)*E11)</f>
        <v>64453.125</v>
      </c>
      <c r="G11" s="2">
        <v>20625000</v>
      </c>
      <c r="H11" s="10">
        <f t="shared" si="0"/>
        <v>1.9549090909090909</v>
      </c>
    </row>
    <row r="12" spans="1:8" ht="15" thickBot="1" x14ac:dyDescent="0.35">
      <c r="A12" s="16" t="s">
        <v>8</v>
      </c>
      <c r="B12" s="40">
        <v>80000</v>
      </c>
      <c r="C12" s="41">
        <v>5120000</v>
      </c>
      <c r="D12" s="11">
        <v>0.21</v>
      </c>
      <c r="E12" s="12">
        <v>0.2</v>
      </c>
      <c r="F12" s="13">
        <f>((G12/128)*E12)</f>
        <v>10742.1875</v>
      </c>
      <c r="G12" s="13">
        <v>6875000</v>
      </c>
      <c r="H12" s="14">
        <f t="shared" si="0"/>
        <v>7.4472727272727273</v>
      </c>
    </row>
    <row r="13" spans="1:8" ht="15" thickBot="1" x14ac:dyDescent="0.35">
      <c r="A13" s="18" t="s">
        <v>13</v>
      </c>
      <c r="B13" s="42" t="str">
        <f>"TOTAL = £" &amp; (((B5*2)+(B6*2)+(B7*4)+(B8*8)+(B9*16)+(B10*32)+(B11*64)+(B12*128))/1000000) &amp; " Million"</f>
        <v>TOTAL = £47.264 Million</v>
      </c>
      <c r="C13" s="19"/>
      <c r="D13" s="17"/>
      <c r="E13" s="5" t="s">
        <v>15</v>
      </c>
      <c r="F13" s="42" t="str">
        <f>"TOTAL = £" &amp; (((F5*2)+(F6*2)+(F7*4)+(F8*8)+(F9*16)+(F10*32)+(F11*64)+(F12*128))/1000000) &amp; " Million"</f>
        <v>TOTAL = £88 Million</v>
      </c>
      <c r="G13" s="19"/>
      <c r="H13" s="20"/>
    </row>
    <row r="14" spans="1:8" x14ac:dyDescent="0.3">
      <c r="B14" t="s">
        <v>22</v>
      </c>
      <c r="F14" t="s">
        <v>18</v>
      </c>
      <c r="H14" t="s">
        <v>19</v>
      </c>
    </row>
    <row r="16" spans="1:8" x14ac:dyDescent="0.3">
      <c r="A16" s="43" t="s">
        <v>23</v>
      </c>
      <c r="B16" s="43"/>
      <c r="C16" s="43"/>
      <c r="D16" s="43"/>
      <c r="E16" s="43"/>
      <c r="F16" s="43"/>
      <c r="G16" s="43"/>
      <c r="H16" s="43"/>
    </row>
    <row r="17" spans="1:8" x14ac:dyDescent="0.3">
      <c r="A17" s="43"/>
      <c r="B17" s="43"/>
      <c r="C17" s="43"/>
      <c r="D17" s="43"/>
      <c r="E17" s="43"/>
      <c r="F17" s="43"/>
      <c r="G17" s="43"/>
      <c r="H17" s="43"/>
    </row>
    <row r="18" spans="1:8" x14ac:dyDescent="0.3">
      <c r="A18" s="43"/>
      <c r="B18" s="43"/>
      <c r="C18" s="43"/>
      <c r="D18" s="43"/>
      <c r="E18" s="43"/>
      <c r="F18" s="43"/>
      <c r="G18" s="43"/>
      <c r="H18" s="43"/>
    </row>
  </sheetData>
  <mergeCells count="3">
    <mergeCell ref="A1:H1"/>
    <mergeCell ref="A2:H3"/>
    <mergeCell ref="A16:H1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Sinyangwe</dc:creator>
  <cp:lastModifiedBy>Michael Sinyangwe</cp:lastModifiedBy>
  <dcterms:created xsi:type="dcterms:W3CDTF">2015-06-05T18:17:20Z</dcterms:created>
  <dcterms:modified xsi:type="dcterms:W3CDTF">2026-07-01T04:37:21Z</dcterms:modified>
</cp:coreProperties>
</file>